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5" windowWidth="12300" windowHeight="5265" activeTab="3"/>
  </bookViews>
  <sheets>
    <sheet name="-Home-" sheetId="139" r:id="rId1"/>
    <sheet name="Pinmap" sheetId="22" r:id="rId2"/>
    <sheet name="$$SheetNames" sheetId="25" state="veryHidden" r:id="rId3"/>
    <sheet name="ChanMap28x" sheetId="67" r:id="rId4"/>
    <sheet name="Global Specs" sheetId="21" r:id="rId5"/>
    <sheet name="8.10.14-flowtable" sheetId="85" r:id="rId6"/>
    <sheet name="Levels" sheetId="42" r:id="rId7"/>
    <sheet name="Time Sets" sheetId="36" r:id="rId8"/>
    <sheet name="Test Instances" sheetId="20" r:id="rId9"/>
    <sheet name="Execution Profile" sheetId="114" r:id="rId10"/>
    <sheet name="TraceLengths" sheetId="109" r:id="rId11"/>
  </sheets>
  <functionGroups builtInGroupCount="17"/>
  <externalReferences>
    <externalReference r:id="rId12"/>
  </externalReferences>
  <definedNames>
    <definedName name="_cycOffset">'Global Specs'!$D$9</definedName>
    <definedName name="_cycPeriod">'Global Specs'!$D$10</definedName>
    <definedName name="_xlnm._FilterDatabase" localSheetId="6" hidden="1">Levels!$D$3:$D$4</definedName>
    <definedName name="_xlnm._FilterDatabase" localSheetId="1" hidden="1">Pinmap!$C$3:$C$4</definedName>
    <definedName name="_xlnm._FilterDatabase" localSheetId="8" hidden="1">'Test Instances'!$D$4:$D$5</definedName>
    <definedName name="_xlnm._FilterDatabase" localSheetId="7" hidden="1">'Time Sets'!$D$7:$D$8</definedName>
    <definedName name="_iLoad">'Global Specs'!$D$8</definedName>
    <definedName name="_Vch_default">'Global Specs'!$D$5</definedName>
    <definedName name="_Vcl_default">'Global Specs'!$D$4</definedName>
    <definedName name="_vLevel">'Global Specs'!$D$7</definedName>
    <definedName name="_vMeas">'Global Specs'!$D$11</definedName>
    <definedName name="_Vph_default">'Global Specs'!$D$6</definedName>
    <definedName name="A">1</definedName>
    <definedName name="Db">1</definedName>
    <definedName name="FlowTableOpcodes" localSheetId="4" hidden="1">[1]Sheet1!$B$1:$B$26</definedName>
    <definedName name="FlowTableOpcodes" localSheetId="1" hidden="1">[1]Sheet1!$B$1:$B$26</definedName>
    <definedName name="FlowTableOpcodes" localSheetId="8" hidden="1">[1]Sheet1!$B$1:$B$26</definedName>
    <definedName name="FlowTableOpcodes" hidden="1">[1]Sheet1!$B$1:$B$26</definedName>
    <definedName name="GHz">1000000000</definedName>
    <definedName name="Hz">1</definedName>
    <definedName name="KHz">1000</definedName>
    <definedName name="mA">0.001</definedName>
    <definedName name="MHz">1000000</definedName>
    <definedName name="ms">0.001</definedName>
    <definedName name="mV">0.001</definedName>
    <definedName name="nA">0.000000001</definedName>
    <definedName name="ns">0.000000001</definedName>
    <definedName name="nV">0.000000001</definedName>
    <definedName name="pA">0.000000000001</definedName>
    <definedName name="ps">0.000000000001</definedName>
    <definedName name="s">1</definedName>
    <definedName name="uA">0.000001</definedName>
    <definedName name="us">0.000001</definedName>
    <definedName name="uV">0.000001</definedName>
    <definedName name="V">1</definedName>
  </definedNames>
  <calcPr calcId="145621"/>
</workbook>
</file>

<file path=xl/calcChain.xml><?xml version="1.0" encoding="utf-8"?>
<calcChain xmlns="http://schemas.openxmlformats.org/spreadsheetml/2006/main">
  <c r="C9" i="36" l="1"/>
  <c r="C8" i="36"/>
  <c r="A1" i="25"/>
  <c r="A2" i="25"/>
  <c r="A3" i="25"/>
  <c r="A4" i="25"/>
  <c r="A5" i="25"/>
  <c r="A6" i="25"/>
  <c r="A7" i="25"/>
  <c r="A8" i="25"/>
  <c r="A9" i="25"/>
  <c r="A10" i="25"/>
  <c r="J8" i="36" l="1"/>
  <c r="K8" i="36"/>
  <c r="J9" i="36"/>
  <c r="K9" i="36"/>
  <c r="N9" i="36"/>
</calcChain>
</file>

<file path=xl/sharedStrings.xml><?xml version="1.0" encoding="utf-8"?>
<sst xmlns="http://schemas.openxmlformats.org/spreadsheetml/2006/main" count="4153" uniqueCount="2364">
  <si>
    <t>Group Name</t>
  </si>
  <si>
    <t>Pin Name</t>
  </si>
  <si>
    <t>Type</t>
  </si>
  <si>
    <t>Comment</t>
  </si>
  <si>
    <t>Pin Map</t>
  </si>
  <si>
    <t>Vcl_default</t>
  </si>
  <si>
    <t>Detector clamp voltage low</t>
  </si>
  <si>
    <t>Vch_default</t>
  </si>
  <si>
    <t>Detector clamp voltage high</t>
  </si>
  <si>
    <t>Symbol</t>
  </si>
  <si>
    <t>Job</t>
  </si>
  <si>
    <t>Value</t>
  </si>
  <si>
    <t>Global Specs</t>
  </si>
  <si>
    <t>Test Name</t>
  </si>
  <si>
    <t>Name</t>
  </si>
  <si>
    <t>Called As</t>
  </si>
  <si>
    <t>DC Specs</t>
  </si>
  <si>
    <t>Category</t>
  </si>
  <si>
    <t>Selector</t>
  </si>
  <si>
    <t>AC Specs</t>
  </si>
  <si>
    <t>Sheet Parameters</t>
  </si>
  <si>
    <t>Time Sets</t>
  </si>
  <si>
    <t>Edge Sets</t>
  </si>
  <si>
    <t>Pin Levels</t>
  </si>
  <si>
    <t>Other Parameters</t>
  </si>
  <si>
    <t>Arg4</t>
  </si>
  <si>
    <t>Arg5</t>
  </si>
  <si>
    <t>Arg6</t>
  </si>
  <si>
    <t>Arg7</t>
  </si>
  <si>
    <t>Arg8</t>
  </si>
  <si>
    <t>Arg9</t>
  </si>
  <si>
    <t>Arg10</t>
  </si>
  <si>
    <t>Arg11</t>
  </si>
  <si>
    <t>Arg12</t>
  </si>
  <si>
    <t>Arg13</t>
  </si>
  <si>
    <t>Arg14</t>
  </si>
  <si>
    <t>Arg15</t>
  </si>
  <si>
    <t>Arg16</t>
  </si>
  <si>
    <t>Arg17</t>
  </si>
  <si>
    <t>Arg18</t>
  </si>
  <si>
    <t>Arg19</t>
  </si>
  <si>
    <t>Arg20</t>
  </si>
  <si>
    <t>Arg21</t>
  </si>
  <si>
    <t>Arg22</t>
  </si>
  <si>
    <t>Arg23</t>
  </si>
  <si>
    <t>Arg24</t>
  </si>
  <si>
    <t>Arg25</t>
  </si>
  <si>
    <t>Arg26</t>
  </si>
  <si>
    <t>Arg27</t>
  </si>
  <si>
    <t>Arg28</t>
  </si>
  <si>
    <t>Arg29</t>
  </si>
  <si>
    <t>Arg30</t>
  </si>
  <si>
    <t>Arg31</t>
  </si>
  <si>
    <t>Arg32</t>
  </si>
  <si>
    <t>Arg33</t>
  </si>
  <si>
    <t>Arg34</t>
  </si>
  <si>
    <t>Arg35</t>
  </si>
  <si>
    <t>Arg36</t>
  </si>
  <si>
    <t>Arg37</t>
  </si>
  <si>
    <t>Arg38</t>
  </si>
  <si>
    <t>Arg39</t>
  </si>
  <si>
    <t>Arg40</t>
  </si>
  <si>
    <t>Arg41</t>
  </si>
  <si>
    <t>Arg42</t>
  </si>
  <si>
    <t>Arg43</t>
  </si>
  <si>
    <t>Arg44</t>
  </si>
  <si>
    <t>Test Instances</t>
  </si>
  <si>
    <t>Label</t>
  </si>
  <si>
    <t>Enable</t>
  </si>
  <si>
    <t>Command</t>
  </si>
  <si>
    <t>Opcode</t>
  </si>
  <si>
    <t>Parameter</t>
  </si>
  <si>
    <t>TName</t>
  </si>
  <si>
    <t>TNum</t>
  </si>
  <si>
    <t>Bin Number</t>
  </si>
  <si>
    <t>Pass</t>
  </si>
  <si>
    <t>Fail</t>
  </si>
  <si>
    <t>Sort Number</t>
  </si>
  <si>
    <t>Result</t>
  </si>
  <si>
    <t>State</t>
  </si>
  <si>
    <t>Group</t>
  </si>
  <si>
    <t>Specifier</t>
  </si>
  <si>
    <t>Sense</t>
  </si>
  <si>
    <t>Condition</t>
  </si>
  <si>
    <t>Device</t>
  </si>
  <si>
    <t>Debug</t>
  </si>
  <si>
    <t>Assume</t>
  </si>
  <si>
    <t>Sites</t>
  </si>
  <si>
    <t>Flow Table</t>
  </si>
  <si>
    <t>Gate</t>
  </si>
  <si>
    <t>Part</t>
  </si>
  <si>
    <t>Env</t>
  </si>
  <si>
    <t>Element</t>
  </si>
  <si>
    <t>Home</t>
  </si>
  <si>
    <t>Arg45</t>
  </si>
  <si>
    <t>Arg46</t>
  </si>
  <si>
    <t>Arg47</t>
  </si>
  <si>
    <t>Arg48</t>
  </si>
  <si>
    <t>Arg49</t>
  </si>
  <si>
    <t>Arg50</t>
  </si>
  <si>
    <t>Arg51</t>
  </si>
  <si>
    <t>Arg52</t>
  </si>
  <si>
    <t>Arg53</t>
  </si>
  <si>
    <t>Arg54</t>
  </si>
  <si>
    <t>Arg55</t>
  </si>
  <si>
    <t>Arg56</t>
  </si>
  <si>
    <t>Arg57</t>
  </si>
  <si>
    <t>Arg58</t>
  </si>
  <si>
    <t>Arg59</t>
  </si>
  <si>
    <t>Overlay</t>
  </si>
  <si>
    <t>Arg60</t>
  </si>
  <si>
    <t>Arg61</t>
  </si>
  <si>
    <t>Arg62</t>
  </si>
  <si>
    <t>Arg63</t>
  </si>
  <si>
    <t>Arg64</t>
  </si>
  <si>
    <t>Arg65</t>
  </si>
  <si>
    <t>Arg66</t>
  </si>
  <si>
    <t>Arg67</t>
  </si>
  <si>
    <t>Arg68</t>
  </si>
  <si>
    <t>Arg69</t>
  </si>
  <si>
    <t>Arg70</t>
  </si>
  <si>
    <t>Arg71</t>
  </si>
  <si>
    <t>Arg72</t>
  </si>
  <si>
    <t>Arg73</t>
  </si>
  <si>
    <t>Arg74</t>
  </si>
  <si>
    <t>Arg75</t>
  </si>
  <si>
    <t>Arg76</t>
  </si>
  <si>
    <t>Arg77</t>
  </si>
  <si>
    <t>Arg78</t>
  </si>
  <si>
    <t>Arg79</t>
  </si>
  <si>
    <t>Mixed Signal Timing</t>
  </si>
  <si>
    <t>Arg80</t>
  </si>
  <si>
    <t>Arg81</t>
  </si>
  <si>
    <t>Arg82</t>
  </si>
  <si>
    <t>Arg83</t>
  </si>
  <si>
    <t>Arg84</t>
  </si>
  <si>
    <t>Arg85</t>
  </si>
  <si>
    <t>Arg86</t>
  </si>
  <si>
    <t>Arg87</t>
  </si>
  <si>
    <t>Arg88</t>
  </si>
  <si>
    <t>Arg89</t>
  </si>
  <si>
    <t>Arg90</t>
  </si>
  <si>
    <t>Arg91</t>
  </si>
  <si>
    <t>Arg92</t>
  </si>
  <si>
    <t>Arg93</t>
  </si>
  <si>
    <t>Arg94</t>
  </si>
  <si>
    <t>Arg95</t>
  </si>
  <si>
    <t>Arg96</t>
  </si>
  <si>
    <t>Arg97</t>
  </si>
  <si>
    <t>Arg98</t>
  </si>
  <si>
    <t>Arg99</t>
  </si>
  <si>
    <t>LoLim</t>
  </si>
  <si>
    <t>HiLim</t>
  </si>
  <si>
    <t>Limits</t>
  </si>
  <si>
    <t>Test Procedure</t>
  </si>
  <si>
    <t>Arg100</t>
  </si>
  <si>
    <t>Arg101</t>
  </si>
  <si>
    <t>Arg102</t>
  </si>
  <si>
    <t>Arg103</t>
  </si>
  <si>
    <t>Arg104</t>
  </si>
  <si>
    <t>Arg105</t>
  </si>
  <si>
    <t>Arg106</t>
  </si>
  <si>
    <t>Arg107</t>
  </si>
  <si>
    <t>Arg108</t>
  </si>
  <si>
    <t>Arg109</t>
  </si>
  <si>
    <t>Arg110</t>
  </si>
  <si>
    <t>Arg111</t>
  </si>
  <si>
    <t>Arg112</t>
  </si>
  <si>
    <t>Arg113</t>
  </si>
  <si>
    <t>Arg114</t>
  </si>
  <si>
    <t>Arg115</t>
  </si>
  <si>
    <t>Arg116</t>
  </si>
  <si>
    <t>Arg117</t>
  </si>
  <si>
    <t>Arg118</t>
  </si>
  <si>
    <t>Arg119</t>
  </si>
  <si>
    <t>Arg120</t>
  </si>
  <si>
    <t>Arg121</t>
  </si>
  <si>
    <t>Arg122</t>
  </si>
  <si>
    <t>Arg123</t>
  </si>
  <si>
    <t>Arg124</t>
  </si>
  <si>
    <t>Arg125</t>
  </si>
  <si>
    <t>Arg126</t>
  </si>
  <si>
    <t>Arg127</t>
  </si>
  <si>
    <t>Arg128</t>
  </si>
  <si>
    <t>Arg129</t>
  </si>
  <si>
    <t>DTGlobalSpecSheet,version=2.0:platform=Jaguar:toprow=-1:leftcol=-1:rightcol=-1</t>
  </si>
  <si>
    <t>Format</t>
  </si>
  <si>
    <t>Units</t>
  </si>
  <si>
    <t>Scale</t>
  </si>
  <si>
    <t>Datalog Display Results</t>
  </si>
  <si>
    <t>DTHomeSheet,version=2.0:platform=Jaguar:toprow=-1:leftcol=-1:rightcol=-1</t>
  </si>
  <si>
    <t>Information</t>
  </si>
  <si>
    <t>DTTestInstancesSheet,version=2.4:platform=Jaguar:toprow=-1:leftcol=-1:rightcol=-1</t>
  </si>
  <si>
    <t>Flow Domain:</t>
  </si>
  <si>
    <t>DTPinMap,version=2.1:platform=Jaguar:toprow=-1:leftcol=-1:rightcol=-1</t>
  </si>
  <si>
    <t>Vph_default</t>
  </si>
  <si>
    <t>Hi-V pin voltage high</t>
  </si>
  <si>
    <t>Background Type</t>
  </si>
  <si>
    <t>Serialize</t>
  </si>
  <si>
    <t>Resource Lock</t>
  </si>
  <si>
    <t>Flow Step Locked</t>
  </si>
  <si>
    <t>CT Profile Data</t>
  </si>
  <si>
    <t>USL Tag:</t>
  </si>
  <si>
    <t>DIB ID:</t>
  </si>
  <si>
    <t>Site Replication:</t>
  </si>
  <si>
    <t>View Mode:</t>
  </si>
  <si>
    <t>DTChanMap,version=2.4:platform=Jaguar:toprow=-1:leftcol=-1:rightcol=-1</t>
  </si>
  <si>
    <t>Package Pin</t>
  </si>
  <si>
    <t>Device Under Test</t>
  </si>
  <si>
    <t>Site 0</t>
  </si>
  <si>
    <t>Tester Channel</t>
  </si>
  <si>
    <t>Channel Map</t>
  </si>
  <si>
    <t>DigPin1</t>
  </si>
  <si>
    <t>I/O</t>
  </si>
  <si>
    <t>funcTest1</t>
  </si>
  <si>
    <t>VBT</t>
  </si>
  <si>
    <t>Test</t>
  </si>
  <si>
    <t>Master Timeset Name:</t>
  </si>
  <si>
    <t>Strobe Ref Setup Name:</t>
  </si>
  <si>
    <t>Time Domain:</t>
  </si>
  <si>
    <t>Timing Mode:</t>
  </si>
  <si>
    <t>Single</t>
  </si>
  <si>
    <t>DTTimesetBasicSheet,version=2.3:platform=Jaguar:toprow=-1:leftcol=-1:rightcol=-1</t>
  </si>
  <si>
    <t>Time Set</t>
  </si>
  <si>
    <t>Period</t>
  </si>
  <si>
    <t>Cycle</t>
  </si>
  <si>
    <t>Clock Period</t>
  </si>
  <si>
    <t>Setup</t>
  </si>
  <si>
    <t>Src</t>
  </si>
  <si>
    <t>Pin/Group</t>
  </si>
  <si>
    <t>Fmt</t>
  </si>
  <si>
    <t>On</t>
  </si>
  <si>
    <t>Data</t>
  </si>
  <si>
    <t>Return</t>
  </si>
  <si>
    <t>Off</t>
  </si>
  <si>
    <t>Mode</t>
  </si>
  <si>
    <t>Drive</t>
  </si>
  <si>
    <t>Open</t>
  </si>
  <si>
    <t>Close</t>
  </si>
  <si>
    <t>Ref Offset</t>
  </si>
  <si>
    <t>Compare</t>
  </si>
  <si>
    <t>Edge Resolution</t>
  </si>
  <si>
    <t>Time Sets (Basic)</t>
  </si>
  <si>
    <t>TSet1</t>
  </si>
  <si>
    <t>PAT</t>
  </si>
  <si>
    <t>Edge</t>
  </si>
  <si>
    <t>Auto</t>
  </si>
  <si>
    <t>DTLevelSheet,version=2.1:platform=Jaguar:toprow=-1:leftcol=-1:rightcol=-1</t>
  </si>
  <si>
    <t>Seq.</t>
  </si>
  <si>
    <t>AllDig</t>
  </si>
  <si>
    <t>functionalExp1</t>
  </si>
  <si>
    <t/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</si>
  <si>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</si>
  <si>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</si>
  <si>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</si>
  <si>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</si>
  <si>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</si>
  <si>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</si>
  <si>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</si>
  <si>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</si>
  <si>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</si>
  <si>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VoutLoTyp</t>
  </si>
  <si>
    <t>VoutHiTyp</t>
  </si>
  <si>
    <t>DriverMode</t>
  </si>
  <si>
    <t>Largeswing-HiZ</t>
  </si>
  <si>
    <t>vLevel</t>
  </si>
  <si>
    <t>iLoad</t>
  </si>
  <si>
    <t>cycOffset</t>
  </si>
  <si>
    <t>cycPeriod</t>
  </si>
  <si>
    <t>digStart</t>
  </si>
  <si>
    <t>Levels</t>
  </si>
  <si>
    <t>dPat1</t>
  </si>
  <si>
    <t>dpin,patname,strtlab</t>
  </si>
  <si>
    <t>ArgList</t>
  </si>
  <si>
    <t>NR</t>
  </si>
  <si>
    <t>TSet2</t>
  </si>
  <si>
    <t>dPat2</t>
  </si>
  <si>
    <t>funcTest2</t>
  </si>
  <si>
    <t>functionalExp2</t>
  </si>
  <si>
    <t>digStart2</t>
  </si>
  <si>
    <t>Site 1</t>
  </si>
  <si>
    <t>Site 2</t>
  </si>
  <si>
    <t>Site 3</t>
  </si>
  <si>
    <t>Site 4</t>
  </si>
  <si>
    <t>Site 5</t>
  </si>
  <si>
    <t>Site 6</t>
  </si>
  <si>
    <t>Site 7</t>
  </si>
  <si>
    <t>Site 8</t>
  </si>
  <si>
    <t>Site 9</t>
  </si>
  <si>
    <t>Site 10</t>
  </si>
  <si>
    <t>Site 11</t>
  </si>
  <si>
    <t>Site 12</t>
  </si>
  <si>
    <t>Site 13</t>
  </si>
  <si>
    <t>Site 14</t>
  </si>
  <si>
    <t>Site 15</t>
  </si>
  <si>
    <t>Site 16</t>
  </si>
  <si>
    <t>Site 17</t>
  </si>
  <si>
    <t>Site 18</t>
  </si>
  <si>
    <t>Site 19</t>
  </si>
  <si>
    <t>Site 20</t>
  </si>
  <si>
    <t>Site 21</t>
  </si>
  <si>
    <t>Site 22</t>
  </si>
  <si>
    <t>Site 23</t>
  </si>
  <si>
    <t>Site 24</t>
  </si>
  <si>
    <t>Site 25</t>
  </si>
  <si>
    <t>Site 26</t>
  </si>
  <si>
    <t>Site 27</t>
  </si>
  <si>
    <t>AR_CLKP_0</t>
  </si>
  <si>
    <t>AR_CLKN_0</t>
  </si>
  <si>
    <t>AR_TXP_0</t>
  </si>
  <si>
    <t>N/C</t>
  </si>
  <si>
    <t>AR_TXN_0</t>
  </si>
  <si>
    <t>AR_TXP_1</t>
  </si>
  <si>
    <t>AR_TXN_1</t>
  </si>
  <si>
    <t>AR_TXP_2</t>
  </si>
  <si>
    <t>AR_TXN_2</t>
  </si>
  <si>
    <t>AR_TXP_3</t>
  </si>
  <si>
    <t>AR_TXN_3</t>
  </si>
  <si>
    <t>CSI_CLKP</t>
  </si>
  <si>
    <t>CSI_CLKN</t>
  </si>
  <si>
    <t>CSI_LANE0P</t>
  </si>
  <si>
    <t>CSI_LANE0N</t>
  </si>
  <si>
    <t>CSI_LANE1P</t>
  </si>
  <si>
    <t>CSI_LANE1N</t>
  </si>
  <si>
    <t>CSI_LANE2P</t>
  </si>
  <si>
    <t>CSI_LANE2N</t>
  </si>
  <si>
    <t>CSI_LANE3P</t>
  </si>
  <si>
    <t>CSI_LANE3N</t>
  </si>
  <si>
    <t>CSI1_CLKP</t>
  </si>
  <si>
    <t>CSI1_CLKN</t>
  </si>
  <si>
    <t>CSI1_LANE0P</t>
  </si>
  <si>
    <t>CSI1_LANE0N</t>
  </si>
  <si>
    <t>CSI1_LANE1P</t>
  </si>
  <si>
    <t>CSI1_LANE1N</t>
  </si>
  <si>
    <t>CSI1_LANE2P</t>
  </si>
  <si>
    <t>CSI1_LANE2N</t>
  </si>
  <si>
    <t>CSI1_LANE3P</t>
  </si>
  <si>
    <t>CSI1_LANE3N</t>
  </si>
  <si>
    <t>LFAST_RXP</t>
  </si>
  <si>
    <t>LFAST_RXN</t>
  </si>
  <si>
    <t>LFAST_TXP</t>
  </si>
  <si>
    <t>LFAST_TXN</t>
  </si>
  <si>
    <t>MTI_P0</t>
  </si>
  <si>
    <t>MTI_N0</t>
  </si>
  <si>
    <t>MTI_P1</t>
  </si>
  <si>
    <t>MTI_N1</t>
  </si>
  <si>
    <t>MTI_P2</t>
  </si>
  <si>
    <t>MTI_N2</t>
  </si>
  <si>
    <t>MTI_P3</t>
  </si>
  <si>
    <t>MTI_N3</t>
  </si>
  <si>
    <t>ADC_CH4</t>
  </si>
  <si>
    <t>ATX_S_VI</t>
  </si>
  <si>
    <t>DCVI</t>
  </si>
  <si>
    <t>ATX_S_DIFF</t>
  </si>
  <si>
    <t>DCDiffMeter</t>
  </si>
  <si>
    <t>ADC_CH5</t>
  </si>
  <si>
    <t>ATX_F_VI</t>
  </si>
  <si>
    <t>site0</t>
  </si>
  <si>
    <t>site1</t>
  </si>
  <si>
    <t>site2</t>
  </si>
  <si>
    <t>site3</t>
  </si>
  <si>
    <t>site4</t>
  </si>
  <si>
    <t>site5</t>
  </si>
  <si>
    <t>site6</t>
  </si>
  <si>
    <t>site14</t>
  </si>
  <si>
    <t>site15</t>
  </si>
  <si>
    <t>site16</t>
  </si>
  <si>
    <t>site17</t>
  </si>
  <si>
    <t>site18</t>
  </si>
  <si>
    <t>site19</t>
  </si>
  <si>
    <t>site20</t>
  </si>
  <si>
    <t>ATX_F_DIFF</t>
  </si>
  <si>
    <t>ADC_CH6</t>
  </si>
  <si>
    <t>SAR_CAL</t>
  </si>
  <si>
    <t>SAR_CAL_DIFF</t>
  </si>
  <si>
    <t>ADC_CH7</t>
  </si>
  <si>
    <t>SAR_CAL2</t>
  </si>
  <si>
    <t>SAR_CAL2_DIFF</t>
  </si>
  <si>
    <t>PL_1</t>
  </si>
  <si>
    <t>PL_2</t>
  </si>
  <si>
    <t>PL_3</t>
  </si>
  <si>
    <t>PL_4</t>
  </si>
  <si>
    <t>PL_7</t>
  </si>
  <si>
    <t>PH_13</t>
  </si>
  <si>
    <t>PH_4</t>
  </si>
  <si>
    <t>PD_6</t>
  </si>
  <si>
    <t>PG_10</t>
  </si>
  <si>
    <t>PD_0</t>
  </si>
  <si>
    <t>PD_3</t>
  </si>
  <si>
    <t>PI_2</t>
  </si>
  <si>
    <t>PD_5</t>
  </si>
  <si>
    <t>PH_5</t>
  </si>
  <si>
    <t>NMI</t>
  </si>
  <si>
    <t>PC_11</t>
  </si>
  <si>
    <t>PC_12</t>
  </si>
  <si>
    <t>PC_15</t>
  </si>
  <si>
    <t>PD_2</t>
  </si>
  <si>
    <t>PD_4</t>
  </si>
  <si>
    <t>PG_11</t>
  </si>
  <si>
    <t>PB_4</t>
  </si>
  <si>
    <t>PB_5</t>
  </si>
  <si>
    <t>PF_14</t>
  </si>
  <si>
    <t>PG_8</t>
  </si>
  <si>
    <t>PG_9</t>
  </si>
  <si>
    <t>PH_8</t>
  </si>
  <si>
    <t>PH_9</t>
  </si>
  <si>
    <t>PL_0</t>
  </si>
  <si>
    <t>PL_6</t>
  </si>
  <si>
    <t>PL_5</t>
  </si>
  <si>
    <t>TCK</t>
  </si>
  <si>
    <t>JCOMP</t>
  </si>
  <si>
    <t>TESTMODE</t>
  </si>
  <si>
    <t>ADC0_CH0</t>
  </si>
  <si>
    <t>ADC0_CH1</t>
  </si>
  <si>
    <t>ADC0_CH2</t>
  </si>
  <si>
    <t>ADC0_CH3</t>
  </si>
  <si>
    <t>ADC1_CH0</t>
  </si>
  <si>
    <t>ADC1_CH1</t>
  </si>
  <si>
    <t>ADC1_CH2</t>
  </si>
  <si>
    <t>ADC1_CH3</t>
  </si>
  <si>
    <t>FCCU_F_0</t>
  </si>
  <si>
    <t>FCCU_F_1</t>
  </si>
  <si>
    <t>PA_0</t>
  </si>
  <si>
    <t>PA_1</t>
  </si>
  <si>
    <t>PA_10</t>
  </si>
  <si>
    <t>PA_11</t>
  </si>
  <si>
    <t>PA_12</t>
  </si>
  <si>
    <t>PA_13</t>
  </si>
  <si>
    <t>PA_14</t>
  </si>
  <si>
    <t>PA_15</t>
  </si>
  <si>
    <t>PA_2</t>
  </si>
  <si>
    <t>PA_3</t>
  </si>
  <si>
    <t>PA_4</t>
  </si>
  <si>
    <t>PA_5</t>
  </si>
  <si>
    <t>RESET_B</t>
  </si>
  <si>
    <t>PA_6</t>
  </si>
  <si>
    <t>PA_7</t>
  </si>
  <si>
    <t>PA_8</t>
  </si>
  <si>
    <t>PA_9</t>
  </si>
  <si>
    <t>PB_0</t>
  </si>
  <si>
    <t>PB_1</t>
  </si>
  <si>
    <t>PB_2</t>
  </si>
  <si>
    <t>PB_3</t>
  </si>
  <si>
    <t>PB_6</t>
  </si>
  <si>
    <t>PC_10</t>
  </si>
  <si>
    <t>PD_1</t>
  </si>
  <si>
    <t>PD_11</t>
  </si>
  <si>
    <t>PD_14</t>
  </si>
  <si>
    <t>PD_8</t>
  </si>
  <si>
    <t>PE_13</t>
  </si>
  <si>
    <t>PE_15</t>
  </si>
  <si>
    <t>PF_0</t>
  </si>
  <si>
    <t>PF_15</t>
  </si>
  <si>
    <t>PG_5</t>
  </si>
  <si>
    <t>PH_11</t>
  </si>
  <si>
    <t>PH_12</t>
  </si>
  <si>
    <t>PH_6</t>
  </si>
  <si>
    <t>PH_7</t>
  </si>
  <si>
    <t>PI_0</t>
  </si>
  <si>
    <t>PI_1</t>
  </si>
  <si>
    <t>PI_4</t>
  </si>
  <si>
    <t>PI_5</t>
  </si>
  <si>
    <t>PI_6</t>
  </si>
  <si>
    <t>PI_7</t>
  </si>
  <si>
    <t>PI_8</t>
  </si>
  <si>
    <t>PI_9</t>
  </si>
  <si>
    <t>PK_0</t>
  </si>
  <si>
    <t>PK_1</t>
  </si>
  <si>
    <t>PK_2</t>
  </si>
  <si>
    <t>PK_3</t>
  </si>
  <si>
    <t>PK_4</t>
  </si>
  <si>
    <t>PK_5</t>
  </si>
  <si>
    <t>PK_6</t>
  </si>
  <si>
    <t>PK_7</t>
  </si>
  <si>
    <t>TMU_ANODE_IO</t>
  </si>
  <si>
    <t>TMU_CATHODE_IO</t>
  </si>
  <si>
    <t>POR_B</t>
  </si>
  <si>
    <t>POST_AN</t>
  </si>
  <si>
    <t>REXT_CSI</t>
  </si>
  <si>
    <t>TMS</t>
  </si>
  <si>
    <t>XOSC_EXTAL</t>
  </si>
  <si>
    <t>XOSC_XTAL</t>
  </si>
  <si>
    <t>PMIC_SENSE</t>
  </si>
  <si>
    <t>S:VDD</t>
  </si>
  <si>
    <t>VDD_LV_MIPI</t>
  </si>
  <si>
    <t>DCVS</t>
  </si>
  <si>
    <t>VDD_VS_3_PRB</t>
  </si>
  <si>
    <t>VDD_LV_PLL</t>
  </si>
  <si>
    <t>S:VDD_VS_3_PRB</t>
  </si>
  <si>
    <t>VDD_LV_PLL_AUR</t>
  </si>
  <si>
    <t>VDD_HV_EFUSE</t>
  </si>
  <si>
    <t>VDD_HV_IO_LFAST</t>
  </si>
  <si>
    <t>VDD_HV_IO_AUR</t>
  </si>
  <si>
    <t>VDD_HV_IO_MTI</t>
  </si>
  <si>
    <t>VDD_HV_MIPI</t>
  </si>
  <si>
    <t>VDD_VS_6_PRB</t>
  </si>
  <si>
    <t>VDD_HV_FIRC</t>
  </si>
  <si>
    <t>S:VDD_VS_6_PRB</t>
  </si>
  <si>
    <t>VDD_HV_PLL</t>
  </si>
  <si>
    <t>VDD_HV_FXOSC</t>
  </si>
  <si>
    <t>VDD_VS_7_PRB</t>
  </si>
  <si>
    <t>VDD_HV_TMU</t>
  </si>
  <si>
    <t>S:VDD_VS_7_PRB</t>
  </si>
  <si>
    <t>VDD_HV_PLL_AUR</t>
  </si>
  <si>
    <t>VDD_HV_LFASTPLL</t>
  </si>
  <si>
    <t>VDD_HV_VREF</t>
  </si>
  <si>
    <t>VDD_HV_ADC</t>
  </si>
  <si>
    <t>VDD_HV_IO1</t>
  </si>
  <si>
    <t>VDD_HV_IO2</t>
  </si>
  <si>
    <t>VDD_HV_IO_QSPI</t>
  </si>
  <si>
    <t>VREFH_ADC0</t>
  </si>
  <si>
    <t>VREFH_ADC0_DIFF</t>
  </si>
  <si>
    <t>VREFH_ADC1</t>
  </si>
  <si>
    <t>S:VREFH_ADC0</t>
  </si>
  <si>
    <t>VREFH_ADC1_DIFF</t>
  </si>
  <si>
    <t>S:VREFH_ADC0_DIFF</t>
  </si>
  <si>
    <t>TMU_ANODE</t>
  </si>
  <si>
    <t>S:ATX_S_VI</t>
  </si>
  <si>
    <t>TMU_ANODE_DIFF</t>
  </si>
  <si>
    <t>S:ATX_S_DIFF</t>
  </si>
  <si>
    <t>TMU_CATHODE</t>
  </si>
  <si>
    <t>S:ATX_F_VI</t>
  </si>
  <si>
    <t>TMU_CATHODE_DIFF</t>
  </si>
  <si>
    <t>S:ATX_F_DIFF</t>
  </si>
  <si>
    <t>DCVI_DGS</t>
  </si>
  <si>
    <t>site12</t>
  </si>
  <si>
    <t>site8</t>
  </si>
  <si>
    <t>SAR_ADC_AWG</t>
  </si>
  <si>
    <t>K_MTI_LVDS_1</t>
  </si>
  <si>
    <t>K_MTI_LVDS_2</t>
  </si>
  <si>
    <t>K_LFAST_TXC</t>
  </si>
  <si>
    <t>K_LFAST_RXC</t>
  </si>
  <si>
    <t>K_LFAST_TERM</t>
  </si>
  <si>
    <t>K_REXT_CSI</t>
  </si>
  <si>
    <t>K_SAR_CAL</t>
  </si>
  <si>
    <t>K_ADC_SRC</t>
  </si>
  <si>
    <t>K_ATX_S</t>
  </si>
  <si>
    <t>K_ATX_F</t>
  </si>
  <si>
    <t>K_ATX_PD</t>
  </si>
  <si>
    <t>Utility</t>
  </si>
  <si>
    <t>K_TMU</t>
  </si>
  <si>
    <t>VSS</t>
  </si>
  <si>
    <t>Gnd</t>
  </si>
  <si>
    <t>K_VI_ADJUST</t>
  </si>
  <si>
    <t>K_S1_EN</t>
  </si>
  <si>
    <t>K_S1_A0</t>
  </si>
  <si>
    <t>K_S1_A1</t>
  </si>
  <si>
    <t>K_S2_EN</t>
  </si>
  <si>
    <t>K_S2_A0</t>
  </si>
  <si>
    <t>K_S2_A1</t>
  </si>
  <si>
    <t>K_S3_Grp1</t>
  </si>
  <si>
    <t>K_S3_Grp2</t>
  </si>
  <si>
    <t>Unknown</t>
  </si>
  <si>
    <t>UC12</t>
  </si>
  <si>
    <t>UC14</t>
  </si>
  <si>
    <t>VI80_Decoupling_Cap</t>
  </si>
  <si>
    <t>OpAmps_SAR_ADC_INPUTS</t>
  </si>
  <si>
    <t>UC04</t>
  </si>
  <si>
    <t>K1_RELAY_FUNC</t>
  </si>
  <si>
    <t>UC05</t>
  </si>
  <si>
    <t>K2_RELAY_FUNC</t>
  </si>
  <si>
    <t>UC08</t>
  </si>
  <si>
    <t>ADG5412BRUZ_SWITCHES</t>
  </si>
  <si>
    <t>UC06</t>
  </si>
  <si>
    <t>UC07</t>
  </si>
  <si>
    <t>UC10</t>
  </si>
  <si>
    <t>All_S2_Decoder_Leak</t>
  </si>
  <si>
    <t>UC11</t>
  </si>
  <si>
    <t>All_S1_Decoder_Leak</t>
  </si>
  <si>
    <t>UC03</t>
  </si>
  <si>
    <t>Func_TDR_Verification</t>
  </si>
  <si>
    <t>UC09</t>
  </si>
  <si>
    <t>VS256_Cap_Leak</t>
  </si>
  <si>
    <t>DECODER_S1_Func</t>
  </si>
  <si>
    <t>DECODER_S2_Func</t>
  </si>
  <si>
    <t>UC13</t>
  </si>
  <si>
    <t>VS256_Cap_Meas_Conn</t>
  </si>
  <si>
    <t>UC01</t>
  </si>
  <si>
    <t>Propagation_Delay</t>
  </si>
  <si>
    <t>UC02</t>
  </si>
  <si>
    <t>Pogo_Pin_Cont</t>
  </si>
  <si>
    <t>UC15</t>
  </si>
  <si>
    <t>Impedance_Resp_Profile</t>
  </si>
  <si>
    <t>UC16</t>
  </si>
  <si>
    <t>UC17</t>
  </si>
  <si>
    <t>Impedance_Profile_Tolerance</t>
  </si>
  <si>
    <t>UC12_UP1600_LEAKAGE</t>
  </si>
  <si>
    <t>UC14_OpAmps_SAR_ADC_INPUTS</t>
  </si>
  <si>
    <t>UC04_K1_RELAY_FUNC</t>
  </si>
  <si>
    <t>UC05_K2_RELAY_FUNC</t>
  </si>
  <si>
    <t>UC08_ADG5412BRUZ_SWITCHES</t>
  </si>
  <si>
    <t>UC06_DECODER_S1_Func</t>
  </si>
  <si>
    <t>UC07_DECODER_S2_Func</t>
  </si>
  <si>
    <t>UC10_All_S2_Decoder_Leak</t>
  </si>
  <si>
    <t>UC11_All_S1_Decoder_Leak</t>
  </si>
  <si>
    <t>UC03_Func_TDR_Verification</t>
  </si>
  <si>
    <t>UC09_VS256_Cap_Leak</t>
  </si>
  <si>
    <t>UC13_VS256_Cap_Meas_Conn</t>
  </si>
  <si>
    <t>UC01_Propagation_Delay</t>
  </si>
  <si>
    <t>UC02_Pogo_Pin_Cont</t>
  </si>
  <si>
    <t>UC15_Impedance_Resp_Profile</t>
  </si>
  <si>
    <t>Use-Limit</t>
  </si>
  <si>
    <t>LeakPins</t>
  </si>
  <si>
    <t>End Date Sept 19</t>
  </si>
  <si>
    <t>End Date Sept 20</t>
  </si>
  <si>
    <t>End Date Oct 2</t>
  </si>
  <si>
    <t>End Dte TBD</t>
  </si>
  <si>
    <t>Force_Hi</t>
  </si>
  <si>
    <t>set-device</t>
  </si>
  <si>
    <t>stop</t>
  </si>
  <si>
    <t>set-error-bin</t>
  </si>
  <si>
    <t>dpin</t>
  </si>
  <si>
    <t>patname</t>
  </si>
  <si>
    <t>strtlab</t>
  </si>
  <si>
    <t>DTFlowtableSheet,version=2.2:platform=Jaguar:toprow=-1:leftcol=-1:rightcol=-1</t>
  </si>
  <si>
    <t>Flag</t>
  </si>
  <si>
    <t>nop</t>
  </si>
  <si>
    <t>7.k320</t>
  </si>
  <si>
    <t>7.n314</t>
  </si>
  <si>
    <t>7.k404</t>
  </si>
  <si>
    <t>7.n420</t>
  </si>
  <si>
    <t>8.f314</t>
  </si>
  <si>
    <t>8.k320</t>
  </si>
  <si>
    <t>8.x414</t>
  </si>
  <si>
    <t>7.h412</t>
  </si>
  <si>
    <t>7.ab320</t>
  </si>
  <si>
    <t>7.ab404</t>
  </si>
  <si>
    <t>8.d404</t>
  </si>
  <si>
    <t>8.ad316</t>
  </si>
  <si>
    <t>8.r410</t>
  </si>
  <si>
    <t>8.r422</t>
  </si>
  <si>
    <t>9.n420</t>
  </si>
  <si>
    <t>9.ab320</t>
  </si>
  <si>
    <t>9.k320</t>
  </si>
  <si>
    <t>6.x414</t>
  </si>
  <si>
    <t>6.d312</t>
  </si>
  <si>
    <t>6.r406</t>
  </si>
  <si>
    <t>6.x422</t>
  </si>
  <si>
    <t>9.z406</t>
  </si>
  <si>
    <t>9.n412</t>
  </si>
  <si>
    <t>9.f314</t>
  </si>
  <si>
    <t>9.h418</t>
  </si>
  <si>
    <t>6.ab320</t>
  </si>
  <si>
    <t>6.d320</t>
  </si>
  <si>
    <t>6.h412</t>
  </si>
  <si>
    <t>7.k322</t>
  </si>
  <si>
    <t>7.n316</t>
  </si>
  <si>
    <t>7.k402</t>
  </si>
  <si>
    <t>7.n418</t>
  </si>
  <si>
    <t>8.f316</t>
  </si>
  <si>
    <t>8.k322</t>
  </si>
  <si>
    <t>8.x412</t>
  </si>
  <si>
    <t>7.h410</t>
  </si>
  <si>
    <t>7.ab322</t>
  </si>
  <si>
    <t>7.ab402</t>
  </si>
  <si>
    <t>8.d402</t>
  </si>
  <si>
    <t>8.ad318</t>
  </si>
  <si>
    <t>8.r408</t>
  </si>
  <si>
    <t>8.r420</t>
  </si>
  <si>
    <t>9.n418</t>
  </si>
  <si>
    <t>9.ab322</t>
  </si>
  <si>
    <t>9.k322</t>
  </si>
  <si>
    <t>6.x412</t>
  </si>
  <si>
    <t>6.f312</t>
  </si>
  <si>
    <t>6.r404</t>
  </si>
  <si>
    <t>6.x420</t>
  </si>
  <si>
    <t>9.z404</t>
  </si>
  <si>
    <t>9.k412</t>
  </si>
  <si>
    <t>9.f316</t>
  </si>
  <si>
    <t>9.k418</t>
  </si>
  <si>
    <t>6.ab322</t>
  </si>
  <si>
    <t>6.d322</t>
  </si>
  <si>
    <t>6.h410</t>
  </si>
  <si>
    <t>17.k302</t>
  </si>
  <si>
    <t>17.t210</t>
  </si>
  <si>
    <t>17.c209</t>
  </si>
  <si>
    <t>17.k405</t>
  </si>
  <si>
    <t>17.s404</t>
  </si>
  <si>
    <t>17.p409</t>
  </si>
  <si>
    <t>17.h412</t>
  </si>
  <si>
    <t>17.r202</t>
  </si>
  <si>
    <t>17.c215</t>
  </si>
  <si>
    <t>17.k313</t>
  </si>
  <si>
    <t>17.a405</t>
  </si>
  <si>
    <t>17.h408</t>
  </si>
  <si>
    <t>17.f410</t>
  </si>
  <si>
    <t>17.a413</t>
  </si>
  <si>
    <t>17.r308</t>
  </si>
  <si>
    <t>17.e315</t>
  </si>
  <si>
    <t>17.s312</t>
  </si>
  <si>
    <t>17.g402</t>
  </si>
  <si>
    <t>17.a407</t>
  </si>
  <si>
    <t>17.c411</t>
  </si>
  <si>
    <t>17.c415</t>
  </si>
  <si>
    <t>17.p203</t>
  </si>
  <si>
    <t>17.n214</t>
  </si>
  <si>
    <t>17.a211</t>
  </si>
  <si>
    <t>17.e302</t>
  </si>
  <si>
    <t>17.b305</t>
  </si>
  <si>
    <t>17.g310</t>
  </si>
  <si>
    <t>17.c315</t>
  </si>
  <si>
    <t>17.s204</t>
  </si>
  <si>
    <t>17.n310</t>
  </si>
  <si>
    <t>17.s315</t>
  </si>
  <si>
    <t>17.a403</t>
  </si>
  <si>
    <t>17.p405</t>
  </si>
  <si>
    <t>17.w402</t>
  </si>
  <si>
    <t>17.a409</t>
  </si>
  <si>
    <t>17.k202</t>
  </si>
  <si>
    <t>17.n210</t>
  </si>
  <si>
    <t>17.s215</t>
  </si>
  <si>
    <t>17.g306</t>
  </si>
  <si>
    <t>17.a307</t>
  </si>
  <si>
    <t>17.c309</t>
  </si>
  <si>
    <t>17.h415</t>
  </si>
  <si>
    <t>17.a203</t>
  </si>
  <si>
    <t>17.k205</t>
  </si>
  <si>
    <t>7.t418</t>
  </si>
  <si>
    <t>7.f310</t>
  </si>
  <si>
    <t>7.t306</t>
  </si>
  <si>
    <t>7.ab418</t>
  </si>
  <si>
    <t>8.h414</t>
  </si>
  <si>
    <t>8.h312</t>
  </si>
  <si>
    <t>8.ab316</t>
  </si>
  <si>
    <t>7.d418</t>
  </si>
  <si>
    <t>7.h308</t>
  </si>
  <si>
    <t>7.ab316</t>
  </si>
  <si>
    <t>8.d414</t>
  </si>
  <si>
    <t>8.b316</t>
  </si>
  <si>
    <t>8.r322</t>
  </si>
  <si>
    <t>8.z414</t>
  </si>
  <si>
    <t>9.ab418</t>
  </si>
  <si>
    <t>9.n310</t>
  </si>
  <si>
    <t>9.t406</t>
  </si>
  <si>
    <t>6.ab418</t>
  </si>
  <si>
    <t>6.ab318</t>
  </si>
  <si>
    <t>6.k318</t>
  </si>
  <si>
    <t>6.d414</t>
  </si>
  <si>
    <t>9.ab318</t>
  </si>
  <si>
    <t>9.t318</t>
  </si>
  <si>
    <t>9.f310</t>
  </si>
  <si>
    <t>9.d418</t>
  </si>
  <si>
    <t>6.n414</t>
  </si>
  <si>
    <t>6.x310</t>
  </si>
  <si>
    <t>6.d316</t>
  </si>
  <si>
    <t>7.r420</t>
  </si>
  <si>
    <t>7.d304</t>
  </si>
  <si>
    <t>7.x304</t>
  </si>
  <si>
    <t>7.z420</t>
  </si>
  <si>
    <t>8.h420</t>
  </si>
  <si>
    <t>8.h316</t>
  </si>
  <si>
    <t>8.z322</t>
  </si>
  <si>
    <t>7.b420</t>
  </si>
  <si>
    <t>7.h312</t>
  </si>
  <si>
    <t>7.ab312</t>
  </si>
  <si>
    <t>8.b414</t>
  </si>
  <si>
    <t>8.b322</t>
  </si>
  <si>
    <t>8.r306</t>
  </si>
  <si>
    <t>8.ad420</t>
  </si>
  <si>
    <t>9.z420</t>
  </si>
  <si>
    <t>9.k304</t>
  </si>
  <si>
    <t>9.t420</t>
  </si>
  <si>
    <t>6.ab420</t>
  </si>
  <si>
    <t>6.z322</t>
  </si>
  <si>
    <t>6.n304</t>
  </si>
  <si>
    <t>6.f418</t>
  </si>
  <si>
    <t>9.z316</t>
  </si>
  <si>
    <t>9.t310</t>
  </si>
  <si>
    <t>9.b316</t>
  </si>
  <si>
    <t>9.f418</t>
  </si>
  <si>
    <t>6.n418</t>
  </si>
  <si>
    <t>6.t306</t>
  </si>
  <si>
    <t>6.b322</t>
  </si>
  <si>
    <t>7.t420</t>
  </si>
  <si>
    <t>7.f304</t>
  </si>
  <si>
    <t>7.t304</t>
  </si>
  <si>
    <t>7.ad420</t>
  </si>
  <si>
    <t>8.k412</t>
  </si>
  <si>
    <t>8.k316</t>
  </si>
  <si>
    <t>8.ad304</t>
  </si>
  <si>
    <t>7.d420</t>
  </si>
  <si>
    <t>7.n304</t>
  </si>
  <si>
    <t>7.z316</t>
  </si>
  <si>
    <t>8.b420</t>
  </si>
  <si>
    <t>8.b308</t>
  </si>
  <si>
    <t>8.x304</t>
  </si>
  <si>
    <t>8.z420</t>
  </si>
  <si>
    <t>9.ad420</t>
  </si>
  <si>
    <t>9.h304</t>
  </si>
  <si>
    <t>9.r420</t>
  </si>
  <si>
    <t>6.ad420</t>
  </si>
  <si>
    <t>6.z316</t>
  </si>
  <si>
    <t>6.k316</t>
  </si>
  <si>
    <t>6.b420</t>
  </si>
  <si>
    <t>9.ab312</t>
  </si>
  <si>
    <t>9.r316</t>
  </si>
  <si>
    <t>9.b312</t>
  </si>
  <si>
    <t>9.d420</t>
  </si>
  <si>
    <t>6.k412</t>
  </si>
  <si>
    <t>6.t312</t>
  </si>
  <si>
    <t>6.b304</t>
  </si>
  <si>
    <t>7.t408</t>
  </si>
  <si>
    <t>7.b308</t>
  </si>
  <si>
    <t>7.t316</t>
  </si>
  <si>
    <t>7.z414</t>
  </si>
  <si>
    <t>8.k418</t>
  </si>
  <si>
    <t>8.h322</t>
  </si>
  <si>
    <t>8.ab318</t>
  </si>
  <si>
    <t>7.f414</t>
  </si>
  <si>
    <t>7.k306</t>
  </si>
  <si>
    <t>7.ab318</t>
  </si>
  <si>
    <t>8.d412</t>
  </si>
  <si>
    <t>8.b312</t>
  </si>
  <si>
    <t>8.t310</t>
  </si>
  <si>
    <t>8.ad416</t>
  </si>
  <si>
    <t>9.z414</t>
  </si>
  <si>
    <t>9.h308</t>
  </si>
  <si>
    <t>9.r414</t>
  </si>
  <si>
    <t>6.z414</t>
  </si>
  <si>
    <t>6.ab312</t>
  </si>
  <si>
    <t>6.n310</t>
  </si>
  <si>
    <t>6.d420</t>
  </si>
  <si>
    <t>9.z322</t>
  </si>
  <si>
    <t>9.r322</t>
  </si>
  <si>
    <t>9.d318</t>
  </si>
  <si>
    <t>9.f414</t>
  </si>
  <si>
    <t>6.k408</t>
  </si>
  <si>
    <t>6.t310</t>
  </si>
  <si>
    <t>6.d304</t>
  </si>
  <si>
    <t>7.r414</t>
  </si>
  <si>
    <t>7.d306</t>
  </si>
  <si>
    <t>7.x310</t>
  </si>
  <si>
    <t>7.ad416</t>
  </si>
  <si>
    <t>8.k406</t>
  </si>
  <si>
    <t>8.k310</t>
  </si>
  <si>
    <t>8.ab306</t>
  </si>
  <si>
    <t>7.b414</t>
  </si>
  <si>
    <t>7.k316</t>
  </si>
  <si>
    <t>7.z322</t>
  </si>
  <si>
    <t>8.d418</t>
  </si>
  <si>
    <t>8.d316</t>
  </si>
  <si>
    <t>8.r310</t>
  </si>
  <si>
    <t>8.ab418</t>
  </si>
  <si>
    <t>9.ad416</t>
  </si>
  <si>
    <t>9.k306</t>
  </si>
  <si>
    <t>9.t418</t>
  </si>
  <si>
    <t>6.ad416</t>
  </si>
  <si>
    <t>6.ab316</t>
  </si>
  <si>
    <t>6.k304</t>
  </si>
  <si>
    <t>6.d418</t>
  </si>
  <si>
    <t>9.ad310</t>
  </si>
  <si>
    <t>9.r310</t>
  </si>
  <si>
    <t>9.d316</t>
  </si>
  <si>
    <t>9.b414</t>
  </si>
  <si>
    <t>6.n402</t>
  </si>
  <si>
    <t>6.t318</t>
  </si>
  <si>
    <t>6.b316</t>
  </si>
  <si>
    <t>7.x420</t>
  </si>
  <si>
    <t>7.b304</t>
  </si>
  <si>
    <t>7.r316</t>
  </si>
  <si>
    <t>7.ad408</t>
  </si>
  <si>
    <t>8.n408</t>
  </si>
  <si>
    <t>8.n304</t>
  </si>
  <si>
    <t>8.z306</t>
  </si>
  <si>
    <t>7.f408</t>
  </si>
  <si>
    <t>7.k310</t>
  </si>
  <si>
    <t>7.ad304</t>
  </si>
  <si>
    <t>8.f402</t>
  </si>
  <si>
    <t>8.b304</t>
  </si>
  <si>
    <t>8.t306</t>
  </si>
  <si>
    <t>8.ad408</t>
  </si>
  <si>
    <t>9.ad412</t>
  </si>
  <si>
    <t>9.h316</t>
  </si>
  <si>
    <t>9.x412</t>
  </si>
  <si>
    <t>6.ad408</t>
  </si>
  <si>
    <t>6.ad304</t>
  </si>
  <si>
    <t>6.h316</t>
  </si>
  <si>
    <t>6.b414</t>
  </si>
  <si>
    <t>9.ab304</t>
  </si>
  <si>
    <t>9.r306</t>
  </si>
  <si>
    <t>9.d310</t>
  </si>
  <si>
    <t>9.b420</t>
  </si>
  <si>
    <t>6.h420</t>
  </si>
  <si>
    <t>6.r306</t>
  </si>
  <si>
    <t>6.b308</t>
  </si>
  <si>
    <t>7.t406</t>
  </si>
  <si>
    <t>7.d318</t>
  </si>
  <si>
    <t>7.r322</t>
  </si>
  <si>
    <t>7.ab406</t>
  </si>
  <si>
    <t>8.n414</t>
  </si>
  <si>
    <t>8.k318</t>
  </si>
  <si>
    <t>8.ab310</t>
  </si>
  <si>
    <t>7.f402</t>
  </si>
  <si>
    <t>7.h322</t>
  </si>
  <si>
    <t>7.z310</t>
  </si>
  <si>
    <t>8.d408</t>
  </si>
  <si>
    <t>8.d310</t>
  </si>
  <si>
    <t>8.t318</t>
  </si>
  <si>
    <t>8.ab408</t>
  </si>
  <si>
    <t>9.ab406</t>
  </si>
  <si>
    <t>9.h322</t>
  </si>
  <si>
    <t>9.t408</t>
  </si>
  <si>
    <t>6.ab406</t>
  </si>
  <si>
    <t>6.ab306</t>
  </si>
  <si>
    <t>6.h312</t>
  </si>
  <si>
    <t>6.d408</t>
  </si>
  <si>
    <t>9.ab306</t>
  </si>
  <si>
    <t>9.t316</t>
  </si>
  <si>
    <t>9.b308</t>
  </si>
  <si>
    <t>9.d408</t>
  </si>
  <si>
    <t>6.k418</t>
  </si>
  <si>
    <t>6.r310</t>
  </si>
  <si>
    <t>6.d306</t>
  </si>
  <si>
    <t>7.x416</t>
  </si>
  <si>
    <t>7.d316</t>
  </si>
  <si>
    <t>7.r310</t>
  </si>
  <si>
    <t>7.ab408</t>
  </si>
  <si>
    <t>8.n402</t>
  </si>
  <si>
    <t>8.n310</t>
  </si>
  <si>
    <t>8.ab304</t>
  </si>
  <si>
    <t>7.d406</t>
  </si>
  <si>
    <t>7.n310</t>
  </si>
  <si>
    <t>7.ad310</t>
  </si>
  <si>
    <t>8.d406</t>
  </si>
  <si>
    <t>8.d306</t>
  </si>
  <si>
    <t>8.x310</t>
  </si>
  <si>
    <t>8.ab406</t>
  </si>
  <si>
    <t>9.ad402</t>
  </si>
  <si>
    <t>9.k318</t>
  </si>
  <si>
    <t>9.x402</t>
  </si>
  <si>
    <t>6.ab408</t>
  </si>
  <si>
    <t>6.ab310</t>
  </si>
  <si>
    <t>6.h322</t>
  </si>
  <si>
    <t>6.d412</t>
  </si>
  <si>
    <t>9.ab316</t>
  </si>
  <si>
    <t>9.x310</t>
  </si>
  <si>
    <t>9.d306</t>
  </si>
  <si>
    <t>9.d406</t>
  </si>
  <si>
    <t>6.h414</t>
  </si>
  <si>
    <t>6.r322</t>
  </si>
  <si>
    <t>6.d310</t>
  </si>
  <si>
    <t>7.x412</t>
  </si>
  <si>
    <t>7.d310</t>
  </si>
  <si>
    <t>7.t312</t>
  </si>
  <si>
    <t>7.ab420</t>
  </si>
  <si>
    <t>8.n418</t>
  </si>
  <si>
    <t>8.k306</t>
  </si>
  <si>
    <t>8.z316</t>
  </si>
  <si>
    <t>7.d412</t>
  </si>
  <si>
    <t>7.k304</t>
  </si>
  <si>
    <t>7.ab310</t>
  </si>
  <si>
    <t>8.f408</t>
  </si>
  <si>
    <t>8.f304</t>
  </si>
  <si>
    <t>8.t316</t>
  </si>
  <si>
    <t>8.ad412</t>
  </si>
  <si>
    <t>9.ab414</t>
  </si>
  <si>
    <t>9.h312</t>
  </si>
  <si>
    <t>9.x420</t>
  </si>
  <si>
    <t>6.z420</t>
  </si>
  <si>
    <t>6.z306</t>
  </si>
  <si>
    <t>6.h308</t>
  </si>
  <si>
    <t>6.f408</t>
  </si>
  <si>
    <t>9.ad304</t>
  </si>
  <si>
    <t>9.x304</t>
  </si>
  <si>
    <t>9.f304</t>
  </si>
  <si>
    <t>9.d412</t>
  </si>
  <si>
    <t>6.k414</t>
  </si>
  <si>
    <t>6.r316</t>
  </si>
  <si>
    <t>6.f304</t>
  </si>
  <si>
    <t>7.x408</t>
  </si>
  <si>
    <t>7.b316</t>
  </si>
  <si>
    <t>7.t310</t>
  </si>
  <si>
    <t>7.ad412</t>
  </si>
  <si>
    <t>8.k414</t>
  </si>
  <si>
    <t>8.h308</t>
  </si>
  <si>
    <t>8.z310</t>
  </si>
  <si>
    <t>7.f418</t>
  </si>
  <si>
    <t>7.h316</t>
  </si>
  <si>
    <t>7.ab304</t>
  </si>
  <si>
    <t>8.f414</t>
  </si>
  <si>
    <t>8.d318</t>
  </si>
  <si>
    <t>8.r316</t>
  </si>
  <si>
    <t>8.ab420</t>
  </si>
  <si>
    <t>9.ad408</t>
  </si>
  <si>
    <t>9.k310</t>
  </si>
  <si>
    <t>9.t414</t>
  </si>
  <si>
    <t>6.ad412</t>
  </si>
  <si>
    <t>6.z310</t>
  </si>
  <si>
    <t>6.h304</t>
  </si>
  <si>
    <t>6.f414</t>
  </si>
  <si>
    <t>9.ab310</t>
  </si>
  <si>
    <t>9.t312</t>
  </si>
  <si>
    <t>9.b304</t>
  </si>
  <si>
    <t>9.d414</t>
  </si>
  <si>
    <t>6.k420</t>
  </si>
  <si>
    <t>6.t316</t>
  </si>
  <si>
    <t>6.f310</t>
  </si>
  <si>
    <t>7.t414</t>
  </si>
  <si>
    <t>7.b312</t>
  </si>
  <si>
    <t>7.r306</t>
  </si>
  <si>
    <t>7.ab414</t>
  </si>
  <si>
    <t>8.k420</t>
  </si>
  <si>
    <t>8.h304</t>
  </si>
  <si>
    <t>8.ad310</t>
  </si>
  <si>
    <t>7.d414</t>
  </si>
  <si>
    <t>7.h304</t>
  </si>
  <si>
    <t>7.z306</t>
  </si>
  <si>
    <t>8.f418</t>
  </si>
  <si>
    <t>8.f310</t>
  </si>
  <si>
    <t>8.t312</t>
  </si>
  <si>
    <t>8.ab414</t>
  </si>
  <si>
    <t>9.ab420</t>
  </si>
  <si>
    <t>9.n304</t>
  </si>
  <si>
    <t>9.x408</t>
  </si>
  <si>
    <t>6.ab414</t>
  </si>
  <si>
    <t>6.ad310</t>
  </si>
  <si>
    <t>6.k306</t>
  </si>
  <si>
    <t>6.f402</t>
  </si>
  <si>
    <t>9.z306</t>
  </si>
  <si>
    <t>9.t304</t>
  </si>
  <si>
    <t>9.d304</t>
  </si>
  <si>
    <t>9.f408</t>
  </si>
  <si>
    <t>6.n408</t>
  </si>
  <si>
    <t>6.x304</t>
  </si>
  <si>
    <t>6.d318</t>
  </si>
  <si>
    <t>7.x402</t>
  </si>
  <si>
    <t>7.b322</t>
  </si>
  <si>
    <t>7.t318</t>
  </si>
  <si>
    <t>7.ad402</t>
  </si>
  <si>
    <t>8.k408</t>
  </si>
  <si>
    <t>8.k304</t>
  </si>
  <si>
    <t>8.ab312</t>
  </si>
  <si>
    <t>7.d408</t>
  </si>
  <si>
    <t>7.k318</t>
  </si>
  <si>
    <t>7.ab306</t>
  </si>
  <si>
    <t>8.d420</t>
  </si>
  <si>
    <t>8.d304</t>
  </si>
  <si>
    <t>8.t304</t>
  </si>
  <si>
    <t>8.ad402</t>
  </si>
  <si>
    <t>9.ab408</t>
  </si>
  <si>
    <t>9.k316</t>
  </si>
  <si>
    <t>9.x416</t>
  </si>
  <si>
    <t>6.ad402</t>
  </si>
  <si>
    <t>6.ab304</t>
  </si>
  <si>
    <t>6.k310</t>
  </si>
  <si>
    <t>6.d406</t>
  </si>
  <si>
    <t>9.z310</t>
  </si>
  <si>
    <t>9.t306</t>
  </si>
  <si>
    <t>9.b322</t>
  </si>
  <si>
    <t>9.f402</t>
  </si>
  <si>
    <t>6.k406</t>
  </si>
  <si>
    <t>6.t304</t>
  </si>
  <si>
    <t>6.b312</t>
  </si>
  <si>
    <t>7.x414</t>
  </si>
  <si>
    <t>7.f308</t>
  </si>
  <si>
    <t>7.x308</t>
  </si>
  <si>
    <t>7.ab422</t>
  </si>
  <si>
    <t>8.k422</t>
  </si>
  <si>
    <t>8.n308</t>
  </si>
  <si>
    <t>8.ad308</t>
  </si>
  <si>
    <t>7.d422</t>
  </si>
  <si>
    <t>7.n306</t>
  </si>
  <si>
    <t>7.z320</t>
  </si>
  <si>
    <t>8.f420</t>
  </si>
  <si>
    <t>8.b302</t>
  </si>
  <si>
    <t>8.x306</t>
  </si>
  <si>
    <t>8.z422</t>
  </si>
  <si>
    <t>9.ad422</t>
  </si>
  <si>
    <t>9.h320</t>
  </si>
  <si>
    <t>9.r418</t>
  </si>
  <si>
    <t>6.z422</t>
  </si>
  <si>
    <t>6.ad306</t>
  </si>
  <si>
    <t>6.h314</t>
  </si>
  <si>
    <t>6.f420</t>
  </si>
  <si>
    <t>9.z308</t>
  </si>
  <si>
    <t>9.x308</t>
  </si>
  <si>
    <t>9.b320</t>
  </si>
  <si>
    <t>9.d422</t>
  </si>
  <si>
    <t>6.h422</t>
  </si>
  <si>
    <t>6.r320</t>
  </si>
  <si>
    <t>6.f306</t>
  </si>
  <si>
    <t>7.x404</t>
  </si>
  <si>
    <t>7.f302</t>
  </si>
  <si>
    <t>7.x302</t>
  </si>
  <si>
    <t>7.ab416</t>
  </si>
  <si>
    <t>8.k410</t>
  </si>
  <si>
    <t>8.n302</t>
  </si>
  <si>
    <t>8.z318</t>
  </si>
  <si>
    <t>7.f412</t>
  </si>
  <si>
    <t>7.n302</t>
  </si>
  <si>
    <t>7.z318</t>
  </si>
  <si>
    <t>8.b416</t>
  </si>
  <si>
    <t>8.b306</t>
  </si>
  <si>
    <t>8.x302</t>
  </si>
  <si>
    <t>8.ad422</t>
  </si>
  <si>
    <t>9.ab416</t>
  </si>
  <si>
    <t>9.h302</t>
  </si>
  <si>
    <t>9.t410</t>
  </si>
  <si>
    <t>6.ad410</t>
  </si>
  <si>
    <t>6.ad302</t>
  </si>
  <si>
    <t>6.h302</t>
  </si>
  <si>
    <t>6.b416</t>
  </si>
  <si>
    <t>9.z304</t>
  </si>
  <si>
    <t>9.r304</t>
  </si>
  <si>
    <t>9.b318</t>
  </si>
  <si>
    <t>9.f412</t>
  </si>
  <si>
    <t>6.h416</t>
  </si>
  <si>
    <t>6.r304</t>
  </si>
  <si>
    <t>6.b318</t>
  </si>
  <si>
    <t>7.r418</t>
  </si>
  <si>
    <t>7.f306</t>
  </si>
  <si>
    <t>7.r314</t>
  </si>
  <si>
    <t>7.ad414</t>
  </si>
  <si>
    <t>8.n406</t>
  </si>
  <si>
    <t>8.k308</t>
  </si>
  <si>
    <t>8.z320</t>
  </si>
  <si>
    <t>7.f416</t>
  </si>
  <si>
    <t>7.n308</t>
  </si>
  <si>
    <t>7.z308</t>
  </si>
  <si>
    <t>8.f406</t>
  </si>
  <si>
    <t>8.f302</t>
  </si>
  <si>
    <t>8.x308</t>
  </si>
  <si>
    <t>8.z418</t>
  </si>
  <si>
    <t>9.ad414</t>
  </si>
  <si>
    <t>9.h310</t>
  </si>
  <si>
    <t>9.x422</t>
  </si>
  <si>
    <t>6.ad414</t>
  </si>
  <si>
    <t>6.z314</t>
  </si>
  <si>
    <t>6.h306</t>
  </si>
  <si>
    <t>6.b418</t>
  </si>
  <si>
    <t>9.ad306</t>
  </si>
  <si>
    <t>9.r320</t>
  </si>
  <si>
    <t>9.b310</t>
  </si>
  <si>
    <t>9.f416</t>
  </si>
  <si>
    <t>6.n420</t>
  </si>
  <si>
    <t>6.r308</t>
  </si>
  <si>
    <t>6.f308</t>
  </si>
  <si>
    <t>7.x406</t>
  </si>
  <si>
    <t>7.b306</t>
  </si>
  <si>
    <t>7.t308</t>
  </si>
  <si>
    <t>7.z416</t>
  </si>
  <si>
    <t>8.n404</t>
  </si>
  <si>
    <t>8.h302</t>
  </si>
  <si>
    <t>8.ad302</t>
  </si>
  <si>
    <t>7.f406</t>
  </si>
  <si>
    <t>7.k302</t>
  </si>
  <si>
    <t>7.z304</t>
  </si>
  <si>
    <t>8.f404</t>
  </si>
  <si>
    <t>8.b310</t>
  </si>
  <si>
    <t>8.t302</t>
  </si>
  <si>
    <t>8.ad410</t>
  </si>
  <si>
    <t>9.ad404</t>
  </si>
  <si>
    <t>9.k302</t>
  </si>
  <si>
    <t>9.x410</t>
  </si>
  <si>
    <t>6.ad404</t>
  </si>
  <si>
    <t>6.ab302</t>
  </si>
  <si>
    <t>6.k302</t>
  </si>
  <si>
    <t>6.d410</t>
  </si>
  <si>
    <t>9.z312</t>
  </si>
  <si>
    <t>9.t302</t>
  </si>
  <si>
    <t>9.b302</t>
  </si>
  <si>
    <t>9.f410</t>
  </si>
  <si>
    <t>6.k410</t>
  </si>
  <si>
    <t>6.t314</t>
  </si>
  <si>
    <t>6.b310</t>
  </si>
  <si>
    <t>7.x410</t>
  </si>
  <si>
    <t>7.b318</t>
  </si>
  <si>
    <t>7.t302</t>
  </si>
  <si>
    <t>7.ad410</t>
  </si>
  <si>
    <t>8.h416</t>
  </si>
  <si>
    <t>8.h310</t>
  </si>
  <si>
    <t>8.ab302</t>
  </si>
  <si>
    <t>7.f410</t>
  </si>
  <si>
    <t>7.h302</t>
  </si>
  <si>
    <t>7.ab302</t>
  </si>
  <si>
    <t>8.d410</t>
  </si>
  <si>
    <t>8.b318</t>
  </si>
  <si>
    <t>8.r304</t>
  </si>
  <si>
    <t>8.ad404</t>
  </si>
  <si>
    <t>9.ad410</t>
  </si>
  <si>
    <t>9.n302</t>
  </si>
  <si>
    <t>9.x404</t>
  </si>
  <si>
    <t>6.ad422</t>
  </si>
  <si>
    <t>6.z318</t>
  </si>
  <si>
    <t>6.n302</t>
  </si>
  <si>
    <t>6.f404</t>
  </si>
  <si>
    <t>9.z318</t>
  </si>
  <si>
    <t>9.x302</t>
  </si>
  <si>
    <t>9.b306</t>
  </si>
  <si>
    <t>9.f404</t>
  </si>
  <si>
    <t>6.n404</t>
  </si>
  <si>
    <t>6.x302</t>
  </si>
  <si>
    <t>6.b306</t>
  </si>
  <si>
    <t>7.x422</t>
  </si>
  <si>
    <t>7.d314</t>
  </si>
  <si>
    <t>7.x306</t>
  </si>
  <si>
    <t>7.z418</t>
  </si>
  <si>
    <t>8.n420</t>
  </si>
  <si>
    <t>8.h320</t>
  </si>
  <si>
    <t>8.z308</t>
  </si>
  <si>
    <t>7.b418</t>
  </si>
  <si>
    <t>7.h310</t>
  </si>
  <si>
    <t>7.ad306</t>
  </si>
  <si>
    <t>8.f412</t>
  </si>
  <si>
    <t>8.f308</t>
  </si>
  <si>
    <t>8.r320</t>
  </si>
  <si>
    <t>8.ad406</t>
  </si>
  <si>
    <t>9.ad418</t>
  </si>
  <si>
    <t>9.n306</t>
  </si>
  <si>
    <t>9.x418</t>
  </si>
  <si>
    <t>6.ad406</t>
  </si>
  <si>
    <t>6.ab308</t>
  </si>
  <si>
    <t>6.n308</t>
  </si>
  <si>
    <t>6.f406</t>
  </si>
  <si>
    <t>9.z314</t>
  </si>
  <si>
    <t>9.r314</t>
  </si>
  <si>
    <t>9.d314</t>
  </si>
  <si>
    <t>9.b416</t>
  </si>
  <si>
    <t>6.k422</t>
  </si>
  <si>
    <t>6.x306</t>
  </si>
  <si>
    <t>6.f302</t>
  </si>
  <si>
    <t>7.r422</t>
  </si>
  <si>
    <t>7.b310</t>
  </si>
  <si>
    <t>7.r320</t>
  </si>
  <si>
    <t>7.ad418</t>
  </si>
  <si>
    <t>8.n412</t>
  </si>
  <si>
    <t>8.h306</t>
  </si>
  <si>
    <t>8.ad306</t>
  </si>
  <si>
    <t>7.b416</t>
  </si>
  <si>
    <t>7.h314</t>
  </si>
  <si>
    <t>7.ad308</t>
  </si>
  <si>
    <t>8.b418</t>
  </si>
  <si>
    <t>8.f306</t>
  </si>
  <si>
    <t>8.r308</t>
  </si>
  <si>
    <t>8.ad414</t>
  </si>
  <si>
    <t>9.z418</t>
  </si>
  <si>
    <t>9.k314</t>
  </si>
  <si>
    <t>9.x414</t>
  </si>
  <si>
    <t>6.z418</t>
  </si>
  <si>
    <t>6.ad308</t>
  </si>
  <si>
    <t>6.n306</t>
  </si>
  <si>
    <t>6.f412</t>
  </si>
  <si>
    <t>9.z320</t>
  </si>
  <si>
    <t>9.r308</t>
  </si>
  <si>
    <t>9.f306</t>
  </si>
  <si>
    <t>9.f420</t>
  </si>
  <si>
    <t>6.h418</t>
  </si>
  <si>
    <t>6.t308</t>
  </si>
  <si>
    <t>6.b302</t>
  </si>
  <si>
    <t>7.x418</t>
  </si>
  <si>
    <t>7.b314</t>
  </si>
  <si>
    <t>7.t314</t>
  </si>
  <si>
    <t>7.z422</t>
  </si>
  <si>
    <t>8.h418</t>
  </si>
  <si>
    <t>8.n306</t>
  </si>
  <si>
    <t>8.ab308</t>
  </si>
  <si>
    <t>7.b422</t>
  </si>
  <si>
    <t>7.k314</t>
  </si>
  <si>
    <t>7.ab314</t>
  </si>
  <si>
    <t>8.b422</t>
  </si>
  <si>
    <t>8.b314</t>
  </si>
  <si>
    <t>8.t308</t>
  </si>
  <si>
    <t>8.ab422</t>
  </si>
  <si>
    <t>9.ab422</t>
  </si>
  <si>
    <t>9.h314</t>
  </si>
  <si>
    <t>9.r422</t>
  </si>
  <si>
    <t>6.ad418</t>
  </si>
  <si>
    <t>6.z308</t>
  </si>
  <si>
    <t>6.h320</t>
  </si>
  <si>
    <t>6.d422</t>
  </si>
  <si>
    <t>9.ad308</t>
  </si>
  <si>
    <t>9.t314</t>
  </si>
  <si>
    <t>9.b314</t>
  </si>
  <si>
    <t>9.b422</t>
  </si>
  <si>
    <t>6.n412</t>
  </si>
  <si>
    <t>6.r314</t>
  </si>
  <si>
    <t>6.b320</t>
  </si>
  <si>
    <t>7.t422</t>
  </si>
  <si>
    <t>7.b320</t>
  </si>
  <si>
    <t>7.r308</t>
  </si>
  <si>
    <t>7.ad422</t>
  </si>
  <si>
    <t>8.h422</t>
  </si>
  <si>
    <t>8.h314</t>
  </si>
  <si>
    <t>8.z314</t>
  </si>
  <si>
    <t>7.f420</t>
  </si>
  <si>
    <t>7.h320</t>
  </si>
  <si>
    <t>7.z314</t>
  </si>
  <si>
    <t>8.d422</t>
  </si>
  <si>
    <t>8.b320</t>
  </si>
  <si>
    <t>8.r314</t>
  </si>
  <si>
    <t>8.ad418</t>
  </si>
  <si>
    <t>9.z422</t>
  </si>
  <si>
    <t>9.n308</t>
  </si>
  <si>
    <t>9.t422</t>
  </si>
  <si>
    <t>6.ab422</t>
  </si>
  <si>
    <t>6.z320</t>
  </si>
  <si>
    <t>6.k308</t>
  </si>
  <si>
    <t>6.b422</t>
  </si>
  <si>
    <t>9.ab314</t>
  </si>
  <si>
    <t>9.x306</t>
  </si>
  <si>
    <t>9.f308</t>
  </si>
  <si>
    <t>9.b418</t>
  </si>
  <si>
    <t>6.n406</t>
  </si>
  <si>
    <t>6.x308</t>
  </si>
  <si>
    <t>6.b314</t>
  </si>
  <si>
    <t>7.t402</t>
  </si>
  <si>
    <t>7.f312</t>
  </si>
  <si>
    <t>7.x314</t>
  </si>
  <si>
    <t>7.z412</t>
  </si>
  <si>
    <t>8.k402</t>
  </si>
  <si>
    <t>8.n312</t>
  </si>
  <si>
    <t>8.ad314</t>
  </si>
  <si>
    <t>7.b402</t>
  </si>
  <si>
    <t>7.n312</t>
  </si>
  <si>
    <t>7.ad314</t>
  </si>
  <si>
    <t>8.b410</t>
  </si>
  <si>
    <t>8.f312</t>
  </si>
  <si>
    <t>8.x314</t>
  </si>
  <si>
    <t>8.z412</t>
  </si>
  <si>
    <t>9.ab402</t>
  </si>
  <si>
    <t>9.n312</t>
  </si>
  <si>
    <t>9.t402</t>
  </si>
  <si>
    <t>6.z404</t>
  </si>
  <si>
    <t>6.ad314</t>
  </si>
  <si>
    <t>6.n312</t>
  </si>
  <si>
    <t>6.b410</t>
  </si>
  <si>
    <t>9.ad314</t>
  </si>
  <si>
    <t>9.x314</t>
  </si>
  <si>
    <t>9.f312</t>
  </si>
  <si>
    <t>9.b402</t>
  </si>
  <si>
    <t>6.k402</t>
  </si>
  <si>
    <t>6.x314</t>
  </si>
  <si>
    <t>6.f316</t>
  </si>
  <si>
    <t>7.t410</t>
  </si>
  <si>
    <t>7.b302</t>
  </si>
  <si>
    <t>7.r304</t>
  </si>
  <si>
    <t>7.ad404</t>
  </si>
  <si>
    <t>8.n410</t>
  </si>
  <si>
    <t>8.k302</t>
  </si>
  <si>
    <t>8.ab314</t>
  </si>
  <si>
    <t>7.f404</t>
  </si>
  <si>
    <t>7.h306</t>
  </si>
  <si>
    <t>7.z312</t>
  </si>
  <si>
    <t>8.f410</t>
  </si>
  <si>
    <t>8.d314</t>
  </si>
  <si>
    <t>8.t314</t>
  </si>
  <si>
    <t>8.ab416</t>
  </si>
  <si>
    <t>9.z416</t>
  </si>
  <si>
    <t>9.k308</t>
  </si>
  <si>
    <t>9.x406</t>
  </si>
  <si>
    <t>6.ab416</t>
  </si>
  <si>
    <t>6.z304</t>
  </si>
  <si>
    <t>6.h310</t>
  </si>
  <si>
    <t>6.d416</t>
  </si>
  <si>
    <t>9.ab302</t>
  </si>
  <si>
    <t>9.r312</t>
  </si>
  <si>
    <t>9.f302</t>
  </si>
  <si>
    <t>9.f406</t>
  </si>
  <si>
    <t>6.k416</t>
  </si>
  <si>
    <t>6.t302</t>
  </si>
  <si>
    <t>6.d314</t>
  </si>
  <si>
    <t>7.d410</t>
  </si>
  <si>
    <t>7.n406</t>
  </si>
  <si>
    <t>7.k312</t>
  </si>
  <si>
    <t>7.t416</t>
  </si>
  <si>
    <t>8.h404</t>
  </si>
  <si>
    <t>8.x316</t>
  </si>
  <si>
    <t>8.t410</t>
  </si>
  <si>
    <t>7.k422</t>
  </si>
  <si>
    <t>7.t404</t>
  </si>
  <si>
    <t>7.x312</t>
  </si>
  <si>
    <t>8.h412</t>
  </si>
  <si>
    <t>8.d308</t>
  </si>
  <si>
    <t>8.r318</t>
  </si>
  <si>
    <t>8.x422</t>
  </si>
  <si>
    <t>9.k416</t>
  </si>
  <si>
    <t>9.r318</t>
  </si>
  <si>
    <t>9.h318</t>
  </si>
  <si>
    <t>6.ab412</t>
  </si>
  <si>
    <t>6.ad320</t>
  </si>
  <si>
    <t>6.n318</t>
  </si>
  <si>
    <t>6.r416</t>
  </si>
  <si>
    <t>9.r410</t>
  </si>
  <si>
    <t>9.k404</t>
  </si>
  <si>
    <t>9.ad302</t>
  </si>
  <si>
    <t>9.h412</t>
  </si>
  <si>
    <t>6.ab404</t>
  </si>
  <si>
    <t>6.r312</t>
  </si>
  <si>
    <t>6.h408</t>
  </si>
  <si>
    <t>7.b408</t>
  </si>
  <si>
    <t>7.n402</t>
  </si>
  <si>
    <t>7.d320</t>
  </si>
  <si>
    <t>7.n416</t>
  </si>
  <si>
    <t>8.n320</t>
  </si>
  <si>
    <t>8.x322</t>
  </si>
  <si>
    <t>8.x410</t>
  </si>
  <si>
    <t>7.h418</t>
  </si>
  <si>
    <t>7.t320</t>
  </si>
  <si>
    <t>7.ab412</t>
  </si>
  <si>
    <t>8.b408</t>
  </si>
  <si>
    <t>8.x312</t>
  </si>
  <si>
    <t>8.t408</t>
  </si>
  <si>
    <t>8.t422</t>
  </si>
  <si>
    <t>9.n414</t>
  </si>
  <si>
    <t>9.t320</t>
  </si>
  <si>
    <t>9.b412</t>
  </si>
  <si>
    <t>6.t412</t>
  </si>
  <si>
    <t>6.ab314</t>
  </si>
  <si>
    <t>6.h404</t>
  </si>
  <si>
    <t>6.r420</t>
  </si>
  <si>
    <t>9.ab404</t>
  </si>
  <si>
    <t>9.h402</t>
  </si>
  <si>
    <t>9.ad312</t>
  </si>
  <si>
    <t>9.k414</t>
  </si>
  <si>
    <t>6.x322</t>
  </si>
  <si>
    <t>6.d302</t>
  </si>
  <si>
    <t>6.b408</t>
  </si>
  <si>
    <t>7.f318</t>
  </si>
  <si>
    <t>7.d308</t>
  </si>
  <si>
    <t>7.h404</t>
  </si>
  <si>
    <t>7.ad406</t>
  </si>
  <si>
    <t>8.d302</t>
  </si>
  <si>
    <t>8.n318</t>
  </si>
  <si>
    <t>8.ab410</t>
  </si>
  <si>
    <t>7.b404</t>
  </si>
  <si>
    <t>7.ad320</t>
  </si>
  <si>
    <t>7.r406</t>
  </si>
  <si>
    <t>8.b404</t>
  </si>
  <si>
    <t>8.ad320</t>
  </si>
  <si>
    <t>8.x406</t>
  </si>
  <si>
    <t>8.x418</t>
  </si>
  <si>
    <t>9.t416</t>
  </si>
  <si>
    <t>9.x320</t>
  </si>
  <si>
    <t>9.d320</t>
  </si>
  <si>
    <t>6.z416</t>
  </si>
  <si>
    <t>6.f314</t>
  </si>
  <si>
    <t>6.d404</t>
  </si>
  <si>
    <t>6.n416</t>
  </si>
  <si>
    <t>9.r406</t>
  </si>
  <si>
    <t>9.b404</t>
  </si>
  <si>
    <t>9.d302</t>
  </si>
  <si>
    <t>9.k422</t>
  </si>
  <si>
    <t>6.x320</t>
  </si>
  <si>
    <t>6.k320</t>
  </si>
  <si>
    <t>6.b404</t>
  </si>
  <si>
    <t>7.b412</t>
  </si>
  <si>
    <t>7.n404</t>
  </si>
  <si>
    <t>7.d312</t>
  </si>
  <si>
    <t>7.z406</t>
  </si>
  <si>
    <t>8.k314</t>
  </si>
  <si>
    <t>8.t320</t>
  </si>
  <si>
    <t>8.ab412</t>
  </si>
  <si>
    <t>7.h416</t>
  </si>
  <si>
    <t>7.r318</t>
  </si>
  <si>
    <t>7.x316</t>
  </si>
  <si>
    <t>8.d416</t>
  </si>
  <si>
    <t>8.ad312</t>
  </si>
  <si>
    <t>8.ab404</t>
  </si>
  <si>
    <t>8.r418</t>
  </si>
  <si>
    <t>9.ab412</t>
  </si>
  <si>
    <t>9.x316</t>
  </si>
  <si>
    <t>9.d404</t>
  </si>
  <si>
    <t>6.z406</t>
  </si>
  <si>
    <t>6.x312</t>
  </si>
  <si>
    <t>6.n410</t>
  </si>
  <si>
    <t>6.t416</t>
  </si>
  <si>
    <t>9.t412</t>
  </si>
  <si>
    <t>9.h404</t>
  </si>
  <si>
    <t>9.ab308</t>
  </si>
  <si>
    <t>9.b408</t>
  </si>
  <si>
    <t>6.r318</t>
  </si>
  <si>
    <t>6.n314</t>
  </si>
  <si>
    <t>6.f410</t>
  </si>
  <si>
    <t>7.f320</t>
  </si>
  <si>
    <t>7.d302</t>
  </si>
  <si>
    <t>7.h402</t>
  </si>
  <si>
    <t>7.z410</t>
  </si>
  <si>
    <t>8.f318</t>
  </si>
  <si>
    <t>8.f320</t>
  </si>
  <si>
    <t>8.z410</t>
  </si>
  <si>
    <t>7.d402</t>
  </si>
  <si>
    <t>7.t322</t>
  </si>
  <si>
    <t>7.z408</t>
  </si>
  <si>
    <t>8.h402</t>
  </si>
  <si>
    <t>8.ad322</t>
  </si>
  <si>
    <t>8.x402</t>
  </si>
  <si>
    <t>8.x420</t>
  </si>
  <si>
    <t>9.ad406</t>
  </si>
  <si>
    <t>9.ad318</t>
  </si>
  <si>
    <t>9.h416</t>
  </si>
  <si>
    <t>6.t408</t>
  </si>
  <si>
    <t>6.f320</t>
  </si>
  <si>
    <t>6.k404</t>
  </si>
  <si>
    <t>6.t418</t>
  </si>
  <si>
    <t>9.n410</t>
  </si>
  <si>
    <t>9.d416</t>
  </si>
  <si>
    <t>9.f320</t>
  </si>
  <si>
    <t>9.k420</t>
  </si>
  <si>
    <t>6.ad318</t>
  </si>
  <si>
    <t>6.k322</t>
  </si>
  <si>
    <t>6.h406</t>
  </si>
  <si>
    <t>7.h408</t>
  </si>
  <si>
    <t>7.r408</t>
  </si>
  <si>
    <t>7.k308</t>
  </si>
  <si>
    <t>7.ab410</t>
  </si>
  <si>
    <t>8.n314</t>
  </si>
  <si>
    <t>8.t404</t>
  </si>
  <si>
    <t>8.t412</t>
  </si>
  <si>
    <t>7.d416</t>
  </si>
  <si>
    <t>7.n318</t>
  </si>
  <si>
    <t>7.ad316</t>
  </si>
  <si>
    <t>8.h410</t>
  </si>
  <si>
    <t>8.z304</t>
  </si>
  <si>
    <t>8.z406</t>
  </si>
  <si>
    <t>8.n416</t>
  </si>
  <si>
    <t>9.z412</t>
  </si>
  <si>
    <t>9.ad316</t>
  </si>
  <si>
    <t>9.k406</t>
  </si>
  <si>
    <t>6.z410</t>
  </si>
  <si>
    <t>6.ad312</t>
  </si>
  <si>
    <t>6.d402</t>
  </si>
  <si>
    <t>6.x418</t>
  </si>
  <si>
    <t>9.r404</t>
  </si>
  <si>
    <t>9.d402</t>
  </si>
  <si>
    <t>9.t308</t>
  </si>
  <si>
    <t>9.b410</t>
  </si>
  <si>
    <t>6.t322</t>
  </si>
  <si>
    <t>6.t402</t>
  </si>
  <si>
    <t>6.b412</t>
  </si>
  <si>
    <t>7.n320</t>
  </si>
  <si>
    <t>7.f316</t>
  </si>
  <si>
    <t>7.k406</t>
  </si>
  <si>
    <t>7.k420</t>
  </si>
  <si>
    <t>8.k312</t>
  </si>
  <si>
    <t>8.d320</t>
  </si>
  <si>
    <t>8.z416</t>
  </si>
  <si>
    <t>7.b410</t>
  </si>
  <si>
    <t>7.ad318</t>
  </si>
  <si>
    <t>7.z404</t>
  </si>
  <si>
    <t>8.h406</t>
  </si>
  <si>
    <t>8.z312</t>
  </si>
  <si>
    <t>8.ab402</t>
  </si>
  <si>
    <t>8.t420</t>
  </si>
  <si>
    <t>9.r416</t>
  </si>
  <si>
    <t>9.x322</t>
  </si>
  <si>
    <t>9.n316</t>
  </si>
  <si>
    <t>6.z408</t>
  </si>
  <si>
    <t>6.k314</t>
  </si>
  <si>
    <t>6.b402</t>
  </si>
  <si>
    <t>6.t420</t>
  </si>
  <si>
    <t>9.t404</t>
  </si>
  <si>
    <t>9.h408</t>
  </si>
  <si>
    <t>9.d322</t>
  </si>
  <si>
    <t>9.h422</t>
  </si>
  <si>
    <t>6.x318</t>
  </si>
  <si>
    <t>6.r408</t>
  </si>
  <si>
    <t>6.f416</t>
  </si>
  <si>
    <t>7.d322</t>
  </si>
  <si>
    <t>7.f314</t>
  </si>
  <si>
    <t>7.h406</t>
  </si>
  <si>
    <t>7.h420</t>
  </si>
  <si>
    <t>8.d322</t>
  </si>
  <si>
    <t>8.h318</t>
  </si>
  <si>
    <t>8.z408</t>
  </si>
  <si>
    <t>7.b406</t>
  </si>
  <si>
    <t>7.ad322</t>
  </si>
  <si>
    <t>7.r404</t>
  </si>
  <si>
    <t>8.b406</t>
  </si>
  <si>
    <t>8.ab322</t>
  </si>
  <si>
    <t>8.z404</t>
  </si>
  <si>
    <t>8.x416</t>
  </si>
  <si>
    <t>9.ab410</t>
  </si>
  <si>
    <t>9.ad322</t>
  </si>
  <si>
    <t>9.n320</t>
  </si>
  <si>
    <t>6.ab402</t>
  </si>
  <si>
    <t>6.f318</t>
  </si>
  <si>
    <t>6.h402</t>
  </si>
  <si>
    <t>6.r418</t>
  </si>
  <si>
    <t>9.n408</t>
  </si>
  <si>
    <t>9.h406</t>
  </si>
  <si>
    <t>9.d312</t>
  </si>
  <si>
    <t>9.t322</t>
  </si>
  <si>
    <t>6.z312</t>
  </si>
  <si>
    <t>6.h318</t>
  </si>
  <si>
    <t>6.b406</t>
  </si>
  <si>
    <t>7.h414</t>
  </si>
  <si>
    <t>7.k408</t>
  </si>
  <si>
    <t>7.r312</t>
  </si>
  <si>
    <t>7.x318</t>
  </si>
  <si>
    <t>8.b402</t>
  </si>
  <si>
    <t>8.x318</t>
  </si>
  <si>
    <t>8.t414</t>
  </si>
  <si>
    <t>7.h422</t>
  </si>
  <si>
    <t>7.x322</t>
  </si>
  <si>
    <t>7.ab308</t>
  </si>
  <si>
    <t>8.f416</t>
  </si>
  <si>
    <t>8.d312</t>
  </si>
  <si>
    <t>8.t402</t>
  </si>
  <si>
    <t>8.t418</t>
  </si>
  <si>
    <t>9.h420</t>
  </si>
  <si>
    <t>9.ad320</t>
  </si>
  <si>
    <t>9.f318</t>
  </si>
  <si>
    <t>6.t414</t>
  </si>
  <si>
    <t>6.ad322</t>
  </si>
  <si>
    <t>6.t410</t>
  </si>
  <si>
    <t>6.t422</t>
  </si>
  <si>
    <t>9.z410</t>
  </si>
  <si>
    <t>9.n404</t>
  </si>
  <si>
    <t>9.h306</t>
  </si>
  <si>
    <t>9.b406</t>
  </si>
  <si>
    <t>6.x406</t>
  </si>
  <si>
    <t>6.d308</t>
  </si>
  <si>
    <t>6.r412</t>
  </si>
  <si>
    <t>7.k412</t>
  </si>
  <si>
    <t>7.d404</t>
  </si>
  <si>
    <t>7.ad302</t>
  </si>
  <si>
    <t>7.r416</t>
  </si>
  <si>
    <t>8.n316</t>
  </si>
  <si>
    <t>8.ab320</t>
  </si>
  <si>
    <t>8.t416</t>
  </si>
  <si>
    <t>7.k418</t>
  </si>
  <si>
    <t>7.h318</t>
  </si>
  <si>
    <t>7.ad312</t>
  </si>
  <si>
    <t>8.b412</t>
  </si>
  <si>
    <t>8.r312</t>
  </si>
  <si>
    <t>8.x404</t>
  </si>
  <si>
    <t>8.k416</t>
  </si>
  <si>
    <t>9.n416</t>
  </si>
  <si>
    <t>9.x318</t>
  </si>
  <si>
    <t>9.n318</t>
  </si>
  <si>
    <t>6.ab410</t>
  </si>
  <si>
    <t>6.ad316</t>
  </si>
  <si>
    <t>6.r410</t>
  </si>
  <si>
    <t>6.x416</t>
  </si>
  <si>
    <t>9.z408</t>
  </si>
  <si>
    <t>9.n402</t>
  </si>
  <si>
    <t>9.d308</t>
  </si>
  <si>
    <t>9.h414</t>
  </si>
  <si>
    <t>6.x402</t>
  </si>
  <si>
    <t>6.k312</t>
  </si>
  <si>
    <t>6.r414</t>
  </si>
  <si>
    <t>23.k409</t>
  </si>
  <si>
    <t>23.k402</t>
  </si>
  <si>
    <t>23.j315</t>
  </si>
  <si>
    <t>23.e310</t>
  </si>
  <si>
    <t>23.k302</t>
  </si>
  <si>
    <t>23.a215</t>
  </si>
  <si>
    <t>23.e202</t>
  </si>
  <si>
    <t>23.n414</t>
  </si>
  <si>
    <t>23.m406</t>
  </si>
  <si>
    <t>23.m315</t>
  </si>
  <si>
    <t>23.e306</t>
  </si>
  <si>
    <t>23.g214</t>
  </si>
  <si>
    <t>23.e206</t>
  </si>
  <si>
    <t>23.w202</t>
  </si>
  <si>
    <t>14.n306</t>
  </si>
  <si>
    <t>14.t214</t>
  </si>
  <si>
    <t>14.p205</t>
  </si>
  <si>
    <t>14.g304</t>
  </si>
  <si>
    <t>14.e315</t>
  </si>
  <si>
    <t>14.g406</t>
  </si>
  <si>
    <t>14.k413</t>
  </si>
  <si>
    <t>14.s304</t>
  </si>
  <si>
    <t>14.p209</t>
  </si>
  <si>
    <t>14.a205</t>
  </si>
  <si>
    <t>14.c215</t>
  </si>
  <si>
    <t>14.k311</t>
  </si>
  <si>
    <t>14.k407</t>
  </si>
  <si>
    <t>14.k409</t>
  </si>
  <si>
    <t>23.m410</t>
  </si>
  <si>
    <t>23.m402</t>
  </si>
  <si>
    <t>23.g314</t>
  </si>
  <si>
    <t>23.f310</t>
  </si>
  <si>
    <t>23.p303</t>
  </si>
  <si>
    <t>23.a213</t>
  </si>
  <si>
    <t>23.e204</t>
  </si>
  <si>
    <t>23.k413</t>
  </si>
  <si>
    <t>23.k407</t>
  </si>
  <si>
    <t>23.k313</t>
  </si>
  <si>
    <t>23.f306</t>
  </si>
  <si>
    <t>23.h215</t>
  </si>
  <si>
    <t>23.c207</t>
  </si>
  <si>
    <t>23.x203</t>
  </si>
  <si>
    <t>14.t315</t>
  </si>
  <si>
    <t>14.s212</t>
  </si>
  <si>
    <t>14.r204</t>
  </si>
  <si>
    <t>14.g302</t>
  </si>
  <si>
    <t>14.c313</t>
  </si>
  <si>
    <t>14.h408</t>
  </si>
  <si>
    <t>14.n414</t>
  </si>
  <si>
    <t>14.k302</t>
  </si>
  <si>
    <t>14.t204</t>
  </si>
  <si>
    <t>14.b205</t>
  </si>
  <si>
    <t>14.b213</t>
  </si>
  <si>
    <t>14.h312</t>
  </si>
  <si>
    <t>14.r404</t>
  </si>
  <si>
    <t>14.m410</t>
  </si>
  <si>
    <t>23.p411</t>
  </si>
  <si>
    <t>23.p405</t>
  </si>
  <si>
    <t>23.a315</t>
  </si>
  <si>
    <t>23.f312</t>
  </si>
  <si>
    <t>23.k213</t>
  </si>
  <si>
    <t>23.h212</t>
  </si>
  <si>
    <t>23.f202</t>
  </si>
  <si>
    <t>23.m415</t>
  </si>
  <si>
    <t>23.g406</t>
  </si>
  <si>
    <t>23.t402</t>
  </si>
  <si>
    <t>23.a305</t>
  </si>
  <si>
    <t>23.t304</t>
  </si>
  <si>
    <t>23.a205</t>
  </si>
  <si>
    <t>23.m202</t>
  </si>
  <si>
    <t>14.t314</t>
  </si>
  <si>
    <t>14.r212</t>
  </si>
  <si>
    <t>14.p203</t>
  </si>
  <si>
    <t>14.k303</t>
  </si>
  <si>
    <t>14.f314</t>
  </si>
  <si>
    <t>14.k405</t>
  </si>
  <si>
    <t>14.p413</t>
  </si>
  <si>
    <t>14.m302</t>
  </si>
  <si>
    <t>14.r202</t>
  </si>
  <si>
    <t>14.c205</t>
  </si>
  <si>
    <t>14.f212</t>
  </si>
  <si>
    <t>14.g308</t>
  </si>
  <si>
    <t>14.p403</t>
  </si>
  <si>
    <t>14.n410</t>
  </si>
  <si>
    <t>23.f412</t>
  </si>
  <si>
    <t>23.g404</t>
  </si>
  <si>
    <t>23.b311</t>
  </si>
  <si>
    <t>23.g310</t>
  </si>
  <si>
    <t>23.a302</t>
  </si>
  <si>
    <t>23.b211</t>
  </si>
  <si>
    <t>23.k203</t>
  </si>
  <si>
    <t>23.e415</t>
  </si>
  <si>
    <t>23.r408</t>
  </si>
  <si>
    <t>23.x411</t>
  </si>
  <si>
    <t>23.r308</t>
  </si>
  <si>
    <t>23.t215</t>
  </si>
  <si>
    <t>23.s212</t>
  </si>
  <si>
    <t>23.t202</t>
  </si>
  <si>
    <t>14.k309</t>
  </si>
  <si>
    <t>14.j315</t>
  </si>
  <si>
    <t>14.t404</t>
  </si>
  <si>
    <t>14.r408</t>
  </si>
  <si>
    <t>14.w402</t>
  </si>
  <si>
    <t>14.x415</t>
  </si>
  <si>
    <t>14.h415</t>
  </si>
  <si>
    <t>14.j215</t>
  </si>
  <si>
    <t>14.t206</t>
  </si>
  <si>
    <t>14.c203</t>
  </si>
  <si>
    <t>14.b211</t>
  </si>
  <si>
    <t>14.f308</t>
  </si>
  <si>
    <t>14.g402</t>
  </si>
  <si>
    <t>14.k411</t>
  </si>
  <si>
    <t>23.r412</t>
  </si>
  <si>
    <t>23.n406</t>
  </si>
  <si>
    <t>23.c315</t>
  </si>
  <si>
    <t>23.c311</t>
  </si>
  <si>
    <t>23.m215</t>
  </si>
  <si>
    <t>23.k211</t>
  </si>
  <si>
    <t>23.g204</t>
  </si>
  <si>
    <t>23.r415</t>
  </si>
  <si>
    <t>23.h408</t>
  </si>
  <si>
    <t>23.r402</t>
  </si>
  <si>
    <t>23.a307</t>
  </si>
  <si>
    <t>23.s304</t>
  </si>
  <si>
    <t>23.a207</t>
  </si>
  <si>
    <t>23.r204</t>
  </si>
  <si>
    <t>14.p305</t>
  </si>
  <si>
    <t>14.t215</t>
  </si>
  <si>
    <t>14.n206</t>
  </si>
  <si>
    <t>14.f302</t>
  </si>
  <si>
    <t>14.a309</t>
  </si>
  <si>
    <t>14.g408</t>
  </si>
  <si>
    <t>14.m415</t>
  </si>
  <si>
    <t>14.t304</t>
  </si>
  <si>
    <t>14.t210</t>
  </si>
  <si>
    <t>14.a207</t>
  </si>
  <si>
    <t>14.c211</t>
  </si>
  <si>
    <t>14.a313</t>
  </si>
  <si>
    <t>14.m406</t>
  </si>
  <si>
    <t>14.p411</t>
  </si>
  <si>
    <t>23.n410</t>
  </si>
  <si>
    <t>23.p403</t>
  </si>
  <si>
    <t>23.a313</t>
  </si>
  <si>
    <t>23.m310</t>
  </si>
  <si>
    <t>23.e304</t>
  </si>
  <si>
    <t>23.b213</t>
  </si>
  <si>
    <t>23.a202</t>
  </si>
  <si>
    <t>23.p413</t>
  </si>
  <si>
    <t>23.g408</t>
  </si>
  <si>
    <t>23.n314</t>
  </si>
  <si>
    <t>23.c307</t>
  </si>
  <si>
    <t>23.k215</t>
  </si>
  <si>
    <t>23.f206</t>
  </si>
  <si>
    <t>23.t206</t>
  </si>
  <si>
    <t>14.r315</t>
  </si>
  <si>
    <t>14.r215</t>
  </si>
  <si>
    <t>14.k202</t>
  </si>
  <si>
    <t>14.h302</t>
  </si>
  <si>
    <t>14.g312</t>
  </si>
  <si>
    <t>14.n406</t>
  </si>
  <si>
    <t>14.r415</t>
  </si>
  <si>
    <t>14.p303</t>
  </si>
  <si>
    <t>14.s204</t>
  </si>
  <si>
    <t>14.k205</t>
  </si>
  <si>
    <t>14.e210</t>
  </si>
  <si>
    <t>14.k305</t>
  </si>
  <si>
    <t>14.m402</t>
  </si>
  <si>
    <t>14.r412</t>
  </si>
  <si>
    <t>23.s412</t>
  </si>
  <si>
    <t>23.r404</t>
  </si>
  <si>
    <t>23.b313</t>
  </si>
  <si>
    <t>23.k309</t>
  </si>
  <si>
    <t>23.g304</t>
  </si>
  <si>
    <t>23.c215</t>
  </si>
  <si>
    <t>23.a203</t>
  </si>
  <si>
    <t>23.s415</t>
  </si>
  <si>
    <t>23.k405</t>
  </si>
  <si>
    <t>23.p313</t>
  </si>
  <si>
    <t>23.f308</t>
  </si>
  <si>
    <t>23.j215</t>
  </si>
  <si>
    <t>23.f208</t>
  </si>
  <si>
    <t>23.x207</t>
  </si>
  <si>
    <t>14.s315</t>
  </si>
  <si>
    <t>14.s215</t>
  </si>
  <si>
    <t>14.m202</t>
  </si>
  <si>
    <t>14.j302</t>
  </si>
  <si>
    <t>14.g310</t>
  </si>
  <si>
    <t>14.p405</t>
  </si>
  <si>
    <t>14.t414</t>
  </si>
  <si>
    <t>14.r304</t>
  </si>
  <si>
    <t>14.t202</t>
  </si>
  <si>
    <t>14.h208</t>
  </si>
  <si>
    <t>14.f210</t>
  </si>
  <si>
    <t>14.g306</t>
  </si>
  <si>
    <t>14.k402</t>
  </si>
  <si>
    <t>14.p409</t>
  </si>
  <si>
    <t>23.g412</t>
  </si>
  <si>
    <t>23.c407</t>
  </si>
  <si>
    <t>23.r315</t>
  </si>
  <si>
    <t>23.p311</t>
  </si>
  <si>
    <t>23.e302</t>
  </si>
  <si>
    <t>23.e215</t>
  </si>
  <si>
    <t>23.p203</t>
  </si>
  <si>
    <t>23.g414</t>
  </si>
  <si>
    <t>23.g402</t>
  </si>
  <si>
    <t>23.k315</t>
  </si>
  <si>
    <t>23.g308</t>
  </si>
  <si>
    <t>23.r304</t>
  </si>
  <si>
    <t>23.b205</t>
  </si>
  <si>
    <t>23.s208</t>
  </si>
  <si>
    <t>14.s312</t>
  </si>
  <si>
    <t>14.r208</t>
  </si>
  <si>
    <t>14.j202</t>
  </si>
  <si>
    <t>14.e302</t>
  </si>
  <si>
    <t>14.d315</t>
  </si>
  <si>
    <t>14.e406</t>
  </si>
  <si>
    <t>14.c413</t>
  </si>
  <si>
    <t>14.m306</t>
  </si>
  <si>
    <t>14.k209</t>
  </si>
  <si>
    <t>14.m206</t>
  </si>
  <si>
    <t>14.d215</t>
  </si>
  <si>
    <t>14.h308</t>
  </si>
  <si>
    <t>14.e402</t>
  </si>
  <si>
    <t>14.e410</t>
  </si>
  <si>
    <t>23.e410</t>
  </si>
  <si>
    <t>23.e402</t>
  </si>
  <si>
    <t>23.a309</t>
  </si>
  <si>
    <t>23.k311</t>
  </si>
  <si>
    <t>23.c303</t>
  </si>
  <si>
    <t>23.a209</t>
  </si>
  <si>
    <t>23.g202</t>
  </si>
  <si>
    <t>23.c413</t>
  </si>
  <si>
    <t>23.t408</t>
  </si>
  <si>
    <t>23.x415</t>
  </si>
  <si>
    <t>23.t308</t>
  </si>
  <si>
    <t>23.s215</t>
  </si>
  <si>
    <t>23.t210</t>
  </si>
  <si>
    <t>23.t204</t>
  </si>
  <si>
    <t>14.p311</t>
  </si>
  <si>
    <t>14.h315</t>
  </si>
  <si>
    <t>14.t402</t>
  </si>
  <si>
    <t>14.t408</t>
  </si>
  <si>
    <t>14.t406</t>
  </si>
  <si>
    <t>14.x411</t>
  </si>
  <si>
    <t>14.j415</t>
  </si>
  <si>
    <t>14.h215</t>
  </si>
  <si>
    <t>14.w202</t>
  </si>
  <si>
    <t>14.a202</t>
  </si>
  <si>
    <t>14.a209</t>
  </si>
  <si>
    <t>14.e306</t>
  </si>
  <si>
    <t>14.k403</t>
  </si>
  <si>
    <t>14.g410</t>
  </si>
  <si>
    <t>23.k411</t>
  </si>
  <si>
    <t>23.f408</t>
  </si>
  <si>
    <t>23.t315</t>
  </si>
  <si>
    <t>23.h308</t>
  </si>
  <si>
    <t>23.n214</t>
  </si>
  <si>
    <t>23.c213</t>
  </si>
  <si>
    <t>23.c203</t>
  </si>
  <si>
    <t>23.h415</t>
  </si>
  <si>
    <t>23.k403</t>
  </si>
  <si>
    <t>23.t404</t>
  </si>
  <si>
    <t>23.b305</t>
  </si>
  <si>
    <t>23.t302</t>
  </si>
  <si>
    <t>23.g210</t>
  </si>
  <si>
    <t>23.r208</t>
  </si>
  <si>
    <t>14.t310</t>
  </si>
  <si>
    <t>14.t208</t>
  </si>
  <si>
    <t>14.g202</t>
  </si>
  <si>
    <t>14.a213</t>
  </si>
  <si>
    <t>14.b311</t>
  </si>
  <si>
    <t>14.f408</t>
  </si>
  <si>
    <t>14.e415</t>
  </si>
  <si>
    <t>14.t302</t>
  </si>
  <si>
    <t>14.p211</t>
  </si>
  <si>
    <t>14.g206</t>
  </si>
  <si>
    <t>14.e215</t>
  </si>
  <si>
    <t>14.c315</t>
  </si>
  <si>
    <t>14.g404</t>
  </si>
  <si>
    <t>14.f412</t>
  </si>
  <si>
    <t>23.g410</t>
  </si>
  <si>
    <t>23.e406</t>
  </si>
  <si>
    <t>23.s315</t>
  </si>
  <si>
    <t>23.n310</t>
  </si>
  <si>
    <t>23.f302</t>
  </si>
  <si>
    <t>23.f214</t>
  </si>
  <si>
    <t>23.k202</t>
  </si>
  <si>
    <t>23.j415</t>
  </si>
  <si>
    <t>23.h402</t>
  </si>
  <si>
    <t>23.h315</t>
  </si>
  <si>
    <t>23.g306</t>
  </si>
  <si>
    <t>23.m302</t>
  </si>
  <si>
    <t>23.c205</t>
  </si>
  <si>
    <t>23.t208</t>
  </si>
  <si>
    <t>14.r312</t>
  </si>
  <si>
    <t>14.p207</t>
  </si>
  <si>
    <t>14.k203</t>
  </si>
  <si>
    <t>14.e304</t>
  </si>
  <si>
    <t>14.a311</t>
  </si>
  <si>
    <t>14.c407</t>
  </si>
  <si>
    <t>14.d415</t>
  </si>
  <si>
    <t>14.k307</t>
  </si>
  <si>
    <t>14.m210</t>
  </si>
  <si>
    <t>14.k207</t>
  </si>
  <si>
    <t>14.c213</t>
  </si>
  <si>
    <t>14.a315</t>
  </si>
  <si>
    <t>14.e404</t>
  </si>
  <si>
    <t>14.c411</t>
  </si>
  <si>
    <t>17.e202</t>
  </si>
  <si>
    <t>17.r212</t>
  </si>
  <si>
    <t>17.m215</t>
  </si>
  <si>
    <t>17.j302</t>
  </si>
  <si>
    <t>17.k307</t>
  </si>
  <si>
    <t>17.b313</t>
  </si>
  <si>
    <t>17.a311</t>
  </si>
  <si>
    <t>17.c207</t>
  </si>
  <si>
    <t>17.f210</t>
  </si>
  <si>
    <t>17.d215</t>
  </si>
  <si>
    <t>17.a302</t>
  </si>
  <si>
    <t>17.a303</t>
  </si>
  <si>
    <t>17.p413</t>
  </si>
  <si>
    <t>17.x407</t>
  </si>
  <si>
    <t>17.d202</t>
  </si>
  <si>
    <t>17.k211</t>
  </si>
  <si>
    <t>17.b213</t>
  </si>
  <si>
    <t>17.r402</t>
  </si>
  <si>
    <t>17.j402</t>
  </si>
  <si>
    <t>17.m410</t>
  </si>
  <si>
    <t>17.t412</t>
  </si>
  <si>
    <t>17.n306</t>
  </si>
  <si>
    <t>17.k315</t>
  </si>
  <si>
    <t>17.t310</t>
  </si>
  <si>
    <t>17.k403</t>
  </si>
  <si>
    <t>17.f406</t>
  </si>
  <si>
    <t>17.r415</t>
  </si>
  <si>
    <t>17.x415</t>
  </si>
  <si>
    <t>17.f308</t>
  </si>
  <si>
    <t>17.j315</t>
  </si>
  <si>
    <t>17.g408</t>
  </si>
  <si>
    <t>17.t415</t>
  </si>
  <si>
    <t>17.h315</t>
  </si>
  <si>
    <t>17.t414</t>
  </si>
  <si>
    <t>17.f408</t>
  </si>
  <si>
    <t>24.r304</t>
  </si>
  <si>
    <t>24.h304</t>
  </si>
  <si>
    <t>24.p209</t>
  </si>
  <si>
    <t>24.r202</t>
  </si>
  <si>
    <t>24.w202</t>
  </si>
  <si>
    <t>24.w204</t>
  </si>
  <si>
    <t>24.s204</t>
  </si>
  <si>
    <t>24.s307</t>
  </si>
  <si>
    <t>24.p309</t>
  </si>
  <si>
    <t>24.e309</t>
  </si>
  <si>
    <t>24.m302</t>
  </si>
  <si>
    <t>24.k302</t>
  </si>
  <si>
    <t>24.g302</t>
  </si>
  <si>
    <t>24.e211</t>
  </si>
  <si>
    <t>24.f209</t>
  </si>
  <si>
    <t>24.p304</t>
  </si>
  <si>
    <t>24.k211</t>
  </si>
  <si>
    <t>24.s207</t>
  </si>
  <si>
    <t>24.s202</t>
  </si>
  <si>
    <t>24.t204</t>
  </si>
  <si>
    <t>24.w207</t>
  </si>
  <si>
    <t>24.w209</t>
  </si>
  <si>
    <t>24.n307</t>
  </si>
  <si>
    <t>24.m304</t>
  </si>
  <si>
    <t>24.r209</t>
  </si>
  <si>
    <t>24.r204</t>
  </si>
  <si>
    <t>24.t202</t>
  </si>
  <si>
    <t>24.t207</t>
  </si>
  <si>
    <t>24.s209</t>
  </si>
  <si>
    <t>24.r307</t>
  </si>
  <si>
    <t>24.f304</t>
  </si>
  <si>
    <t>24.j311</t>
  </si>
  <si>
    <t>24.h302</t>
  </si>
  <si>
    <t>24.e302</t>
  </si>
  <si>
    <t>24.g211</t>
  </si>
  <si>
    <t>24.r211</t>
  </si>
  <si>
    <t>24.p307</t>
  </si>
  <si>
    <t>24.r309</t>
  </si>
  <si>
    <t>24.f309</t>
  </si>
  <si>
    <t>24.j302</t>
  </si>
  <si>
    <t>24.f302</t>
  </si>
  <si>
    <t>24.f211</t>
  </si>
  <si>
    <t>24.m211</t>
  </si>
  <si>
    <t>24.t209</t>
  </si>
  <si>
    <t>24.w211</t>
  </si>
  <si>
    <t>24.k304</t>
  </si>
  <si>
    <t>24.s211</t>
  </si>
  <si>
    <t>24.n204</t>
  </si>
  <si>
    <t>24.j204</t>
  </si>
  <si>
    <t>24.g204</t>
  </si>
  <si>
    <t>24.g202</t>
  </si>
  <si>
    <t>24.k202</t>
  </si>
  <si>
    <t>24.m309</t>
  </si>
  <si>
    <t>24.f307</t>
  </si>
  <si>
    <t>24.g311</t>
  </si>
  <si>
    <t>24.p311</t>
  </si>
  <si>
    <t>24.w309</t>
  </si>
  <si>
    <t>24.t302</t>
  </si>
  <si>
    <t>24.s302</t>
  </si>
  <si>
    <t>24.j304</t>
  </si>
  <si>
    <t>24.n211</t>
  </si>
  <si>
    <t>24.m204</t>
  </si>
  <si>
    <t>24.e209</t>
  </si>
  <si>
    <t>24.p202</t>
  </si>
  <si>
    <t>24.h202</t>
  </si>
  <si>
    <t>24.m202</t>
  </si>
  <si>
    <t>24.n309</t>
  </si>
  <si>
    <t>24.g304</t>
  </si>
  <si>
    <t>24.f311</t>
  </si>
  <si>
    <t>24.n311</t>
  </si>
  <si>
    <t>24.t309</t>
  </si>
  <si>
    <t>24.w302</t>
  </si>
  <si>
    <t>24.p302</t>
  </si>
  <si>
    <t>24.n304</t>
  </si>
  <si>
    <t>24.p211</t>
  </si>
  <si>
    <t>24.p204</t>
  </si>
  <si>
    <t>24.k204</t>
  </si>
  <si>
    <t>24.e207</t>
  </si>
  <si>
    <t>24.n202</t>
  </si>
  <si>
    <t>24.j202</t>
  </si>
  <si>
    <t>24.j309</t>
  </si>
  <si>
    <t>24.g309</t>
  </si>
  <si>
    <t>24.k311</t>
  </si>
  <si>
    <t>24.s311</t>
  </si>
  <si>
    <t>24.t304</t>
  </si>
  <si>
    <t>24.n302</t>
  </si>
  <si>
    <t>24.r302</t>
  </si>
  <si>
    <t>24.g307</t>
  </si>
  <si>
    <t>24.k307</t>
  </si>
  <si>
    <t>24.g207</t>
  </si>
  <si>
    <t>24.h204</t>
  </si>
  <si>
    <t>24.f207</t>
  </si>
  <si>
    <t>24.f204</t>
  </si>
  <si>
    <t>24.f202</t>
  </si>
  <si>
    <t>24.k309</t>
  </si>
  <si>
    <t>24.e304</t>
  </si>
  <si>
    <t>24.e311</t>
  </si>
  <si>
    <t>24.m311</t>
  </si>
  <si>
    <t>24.w311</t>
  </si>
  <si>
    <t>24.w307</t>
  </si>
  <si>
    <t>24.s304</t>
  </si>
  <si>
    <t>24.h307</t>
  </si>
  <si>
    <t>24.j307</t>
  </si>
  <si>
    <t>24.h207</t>
  </si>
  <si>
    <t>24.j207</t>
  </si>
  <si>
    <t>24.g209</t>
  </si>
  <si>
    <t>24.e204</t>
  </si>
  <si>
    <t>24.e202</t>
  </si>
  <si>
    <t>24.h309</t>
  </si>
  <si>
    <t>24.e307</t>
  </si>
  <si>
    <t>24.h311</t>
  </si>
  <si>
    <t>24.r311</t>
  </si>
  <si>
    <t>24.s309</t>
  </si>
  <si>
    <t>24.t307</t>
  </si>
  <si>
    <t>24.w304</t>
  </si>
  <si>
    <t>TDR</t>
  </si>
  <si>
    <t>initial_TDR</t>
  </si>
  <si>
    <t>Channel Leakage</t>
  </si>
  <si>
    <t>"AllDig"</t>
  </si>
  <si>
    <t>".\Shmoopat2.pat"</t>
  </si>
  <si>
    <t>shmoo2strt</t>
  </si>
  <si>
    <t>numsamps,period,timesteps,voltstrt,voltstop,voltsteps,pgroup,patname,strtlab</t>
  </si>
  <si>
    <t>shmoopat2.pat</t>
  </si>
  <si>
    <t>shmoo_strt</t>
  </si>
  <si>
    <t>UC16_Impedance_Profile_Tolerance</t>
  </si>
  <si>
    <t>UC17_VI80_Decoupling_Cap</t>
  </si>
  <si>
    <t>Simple_TDR</t>
  </si>
  <si>
    <t>VDDa</t>
  </si>
  <si>
    <t>Power</t>
  </si>
  <si>
    <t>VDDb</t>
  </si>
  <si>
    <t>VDDc</t>
  </si>
  <si>
    <t>VDDd</t>
  </si>
  <si>
    <t>VDD_VS_5_PRBa</t>
  </si>
  <si>
    <t>VDD_VS_5_PRBb</t>
  </si>
  <si>
    <t>VDD_VS_10_PRBa</t>
  </si>
  <si>
    <t>VDD_VS_10_PRBb</t>
  </si>
  <si>
    <t>VDD_HV_IO_ENETa</t>
  </si>
  <si>
    <t>VDD_HV_IO_ENETb</t>
  </si>
  <si>
    <t>DCVS_PINSa</t>
  </si>
  <si>
    <t>DCVS_PINSb</t>
  </si>
  <si>
    <t>DCVS_PINSc</t>
  </si>
  <si>
    <t>DCVS_PINSd</t>
  </si>
  <si>
    <t>IO_PINS</t>
  </si>
  <si>
    <t>23.b411</t>
  </si>
  <si>
    <t>23.c403</t>
  </si>
  <si>
    <t>23.e315</t>
  </si>
  <si>
    <t>23.t310</t>
  </si>
  <si>
    <t>23.k303</t>
  </si>
  <si>
    <t>23.f212</t>
  </si>
  <si>
    <t>23.h208</t>
  </si>
  <si>
    <t>23.c415</t>
  </si>
  <si>
    <t>23.b405</t>
  </si>
  <si>
    <t>23.w402</t>
  </si>
  <si>
    <t>23.n306</t>
  </si>
  <si>
    <t>23.x211</t>
  </si>
  <si>
    <t>23.p211</t>
  </si>
  <si>
    <t>23.n206</t>
  </si>
  <si>
    <t>14.n314</t>
  </si>
  <si>
    <t>14.n214</t>
  </si>
  <si>
    <t>14.g204</t>
  </si>
  <si>
    <t>14.c303</t>
  </si>
  <si>
    <t>14.f312</t>
  </si>
  <si>
    <t>14.b405</t>
  </si>
  <si>
    <t>14.c415</t>
  </si>
  <si>
    <t>14.t308</t>
  </si>
  <si>
    <t>14.x211</t>
  </si>
  <si>
    <t>14.f208</t>
  </si>
  <si>
    <t>14.k211</t>
  </si>
  <si>
    <t>14.b305</t>
  </si>
  <si>
    <t>14.c403</t>
  </si>
  <si>
    <t>14.b411</t>
  </si>
  <si>
    <t>23.c409</t>
  </si>
  <si>
    <t>23.d402</t>
  </si>
  <si>
    <t>23.f314</t>
  </si>
  <si>
    <t>23.p309</t>
  </si>
  <si>
    <t>23.j302</t>
  </si>
  <si>
    <t>23.f210</t>
  </si>
  <si>
    <t>23.k205</t>
  </si>
  <si>
    <t>23.b413</t>
  </si>
  <si>
    <t>23.c405</t>
  </si>
  <si>
    <t>23.x403</t>
  </si>
  <si>
    <t>23.p305</t>
  </si>
  <si>
    <t>23.t212</t>
  </si>
  <si>
    <t>23.n210</t>
  </si>
  <si>
    <t>23.p205</t>
  </si>
  <si>
    <t>14.p313</t>
  </si>
  <si>
    <t>14.p213</t>
  </si>
  <si>
    <t>14.f202</t>
  </si>
  <si>
    <t>14.d302</t>
  </si>
  <si>
    <t>14.f310</t>
  </si>
  <si>
    <t>14.c405</t>
  </si>
  <si>
    <t>14.b413</t>
  </si>
  <si>
    <t>14.s308</t>
  </si>
  <si>
    <t>14.t212</t>
  </si>
  <si>
    <t>14.f206</t>
  </si>
  <si>
    <t>14.h212</t>
  </si>
  <si>
    <t>14.c305</t>
  </si>
  <si>
    <t>14.d402</t>
  </si>
  <si>
    <t>14.c409</t>
  </si>
  <si>
    <t>23.a409</t>
  </si>
  <si>
    <t>23.a402</t>
  </si>
  <si>
    <t>23.c313</t>
  </si>
  <si>
    <t>23.s312</t>
  </si>
  <si>
    <t>23.g302</t>
  </si>
  <si>
    <t>23.e210</t>
  </si>
  <si>
    <t>23.g206</t>
  </si>
  <si>
    <t>23.a413</t>
  </si>
  <si>
    <t>23.a405</t>
  </si>
  <si>
    <t>23.t406</t>
  </si>
  <si>
    <t>23.m306</t>
  </si>
  <si>
    <t>23.x215</t>
  </si>
  <si>
    <t>23.k209</t>
  </si>
  <si>
    <t>23.m206</t>
  </si>
  <si>
    <t>14.k313</t>
  </si>
  <si>
    <t>14.k213</t>
  </si>
  <si>
    <t>14.e202</t>
  </si>
  <si>
    <t>14.a302</t>
  </si>
  <si>
    <t>14.e310</t>
  </si>
  <si>
    <t>14.a405</t>
  </si>
  <si>
    <t>14.a413</t>
  </si>
  <si>
    <t>14.r308</t>
  </si>
  <si>
    <t>14.x215</t>
  </si>
  <si>
    <t>14.e206</t>
  </si>
  <si>
    <t>14.g210</t>
  </si>
  <si>
    <t>14.a305</t>
  </si>
  <si>
    <t>14.a402</t>
  </si>
  <si>
    <t>14.a409</t>
  </si>
  <si>
    <t>23.a411</t>
  </si>
  <si>
    <t>23.a403</t>
  </si>
  <si>
    <t>23.d315</t>
  </si>
  <si>
    <t>23.r312</t>
  </si>
  <si>
    <t>23.h302</t>
  </si>
  <si>
    <t>23.c211</t>
  </si>
  <si>
    <t>23.g208</t>
  </si>
  <si>
    <t>23.a415</t>
  </si>
  <si>
    <t>23.a407</t>
  </si>
  <si>
    <t>23.x407</t>
  </si>
  <si>
    <t>23.k307</t>
  </si>
  <si>
    <t>23.w215</t>
  </si>
  <si>
    <t>23.m210</t>
  </si>
  <si>
    <t>23.k207</t>
  </si>
  <si>
    <t>14.m315</t>
  </si>
  <si>
    <t>14.m215</t>
  </si>
  <si>
    <t>14.e204</t>
  </si>
  <si>
    <t>14.a303</t>
  </si>
  <si>
    <t>14.c311</t>
  </si>
  <si>
    <t>14.a407</t>
  </si>
  <si>
    <t>14.a415</t>
  </si>
  <si>
    <t>14.p307</t>
  </si>
  <si>
    <t>14.w215</t>
  </si>
  <si>
    <t>14.c207</t>
  </si>
  <si>
    <t>14.g212</t>
  </si>
  <si>
    <t>14.a307</t>
  </si>
  <si>
    <t>14.a403</t>
  </si>
  <si>
    <t>14.a411</t>
  </si>
  <si>
    <t>23.f410</t>
  </si>
  <si>
    <t>23.f402</t>
  </si>
  <si>
    <t>23.c309</t>
  </si>
  <si>
    <t>23.g312</t>
  </si>
  <si>
    <t>23.a303</t>
  </si>
  <si>
    <t>23.c209</t>
  </si>
  <si>
    <t>23.j202</t>
  </si>
  <si>
    <t>23.f414</t>
  </si>
  <si>
    <t>23.p407</t>
  </si>
  <si>
    <t>23.t412</t>
  </si>
  <si>
    <t>23.p307</t>
  </si>
  <si>
    <t>23.t214</t>
  </si>
  <si>
    <t>23.r212</t>
  </si>
  <si>
    <t>23.r202</t>
  </si>
  <si>
    <t>14.m310</t>
  </si>
  <si>
    <t>14.g314</t>
  </si>
  <si>
    <t>14.s404</t>
  </si>
  <si>
    <t>14.p407</t>
  </si>
  <si>
    <t>14.x403</t>
  </si>
  <si>
    <t>14.w415</t>
  </si>
  <si>
    <t>14.k415</t>
  </si>
  <si>
    <t>14.g214</t>
  </si>
  <si>
    <t>14.x207</t>
  </si>
  <si>
    <t>14.d202</t>
  </si>
  <si>
    <t>14.c209</t>
  </si>
  <si>
    <t>14.f306</t>
  </si>
  <si>
    <t>14.h402</t>
  </si>
  <si>
    <t>14.h412</t>
  </si>
  <si>
    <t>S:VDD_VS_5_PRBa</t>
  </si>
  <si>
    <t>23.c411</t>
  </si>
  <si>
    <t>23.e404</t>
  </si>
  <si>
    <t>23.a311</t>
  </si>
  <si>
    <t>23.h312</t>
  </si>
  <si>
    <t>23.d302</t>
  </si>
  <si>
    <t>23.a211</t>
  </si>
  <si>
    <t>23.h202</t>
  </si>
  <si>
    <t>23.d415</t>
  </si>
  <si>
    <t>23.s408</t>
  </si>
  <si>
    <t>23.w415</t>
  </si>
  <si>
    <t>23.s308</t>
  </si>
  <si>
    <t>23.r215</t>
  </si>
  <si>
    <t>23.p209</t>
  </si>
  <si>
    <t>23.s204</t>
  </si>
  <si>
    <t>14.n310</t>
  </si>
  <si>
    <t>14.k315</t>
  </si>
  <si>
    <t>14.r402</t>
  </si>
  <si>
    <t>14.s408</t>
  </si>
  <si>
    <t>14.x407</t>
  </si>
  <si>
    <t>14.t412</t>
  </si>
  <si>
    <t>14.g414</t>
  </si>
  <si>
    <t>14.k215</t>
  </si>
  <si>
    <t>14.x203</t>
  </si>
  <si>
    <t>14.a203</t>
  </si>
  <si>
    <t>14.a211</t>
  </si>
  <si>
    <t>14.c307</t>
  </si>
  <si>
    <t>14.j402</t>
  </si>
  <si>
    <t>14.g412</t>
  </si>
  <si>
    <t>S:VDD_VS_10_PRBa</t>
  </si>
  <si>
    <t>23.h412</t>
  </si>
  <si>
    <t>23.f406</t>
  </si>
  <si>
    <t>23.t314</t>
  </si>
  <si>
    <t>23.k305</t>
  </si>
  <si>
    <t>23.p213</t>
  </si>
  <si>
    <t>23.d215</t>
  </si>
  <si>
    <t>23.d202</t>
  </si>
  <si>
    <t>23.k415</t>
  </si>
  <si>
    <t>23.j402</t>
  </si>
  <si>
    <t>23.s404</t>
  </si>
  <si>
    <t>23.c305</t>
  </si>
  <si>
    <t>23.r302</t>
  </si>
  <si>
    <t>23.g212</t>
  </si>
  <si>
    <t>23.p207</t>
  </si>
  <si>
    <t>14.p309</t>
  </si>
  <si>
    <t>14.s208</t>
  </si>
  <si>
    <t>14.h202</t>
  </si>
  <si>
    <t>14.a215</t>
  </si>
  <si>
    <t>14.c309</t>
  </si>
  <si>
    <t>14.f406</t>
  </si>
  <si>
    <t>14.f414</t>
  </si>
  <si>
    <t>14.r302</t>
  </si>
  <si>
    <t>14.n210</t>
  </si>
  <si>
    <t>14.g208</t>
  </si>
  <si>
    <t>14.f214</t>
  </si>
  <si>
    <t>14.b313</t>
  </si>
  <si>
    <t>14.f402</t>
  </si>
  <si>
    <t>14.f410</t>
  </si>
  <si>
    <t>vMeas</t>
  </si>
  <si>
    <t>Tset3</t>
  </si>
  <si>
    <t>edge</t>
  </si>
  <si>
    <t>Length</t>
  </si>
  <si>
    <t>microstrip ~=  150ps/in</t>
  </si>
  <si>
    <t>stripline ~=  180ps/in</t>
  </si>
  <si>
    <t>Average = 165ps/1n</t>
  </si>
  <si>
    <t>DFF 1.0</t>
  </si>
  <si>
    <t>IG-XL Version</t>
  </si>
  <si>
    <t>Test Program</t>
  </si>
  <si>
    <t>Date</t>
  </si>
  <si>
    <t>User</t>
  </si>
  <si>
    <t>Computer Name</t>
  </si>
  <si>
    <t>Computer OS</t>
  </si>
  <si>
    <t>Computer Speed</t>
  </si>
  <si>
    <t>Computer Memory</t>
  </si>
  <si>
    <t>Environment</t>
  </si>
  <si>
    <t>Total Execution Time</t>
  </si>
  <si>
    <t>8.10.14_uflx (P3) 01.20.15.08.58</t>
  </si>
  <si>
    <t>F:\Oct28\8.10.14_CelerintB.xlsm</t>
  </si>
  <si>
    <t>ultraflexdev</t>
  </si>
  <si>
    <t>T06UFS-00</t>
  </si>
  <si>
    <t>Windows 7 Service Pack 1</t>
  </si>
  <si>
    <t>~3292 MhzGenuineIntel Intel64 Family 6 Model 45 Stepping 7 (8 Processor(s))</t>
  </si>
  <si>
    <t>8310496 KB RAM</t>
  </si>
  <si>
    <t>8.10.14_CelerintB.xlsm</t>
  </si>
  <si>
    <t>ChanMap28x</t>
  </si>
  <si>
    <t>Flow Step</t>
  </si>
  <si>
    <t>Line</t>
  </si>
  <si>
    <t>Total</t>
  </si>
  <si>
    <t>PreBody</t>
  </si>
  <si>
    <t>Body</t>
  </si>
  <si>
    <t>PostBody</t>
  </si>
  <si>
    <t>PreJob Reset</t>
  </si>
  <si>
    <t>PostJob Reset</t>
  </si>
  <si>
    <t>Signal</t>
  </si>
  <si>
    <t>8.10.14-flowtable</t>
  </si>
  <si>
    <t>Pinmap</t>
  </si>
  <si>
    <t>No categories or selectors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</si>
</sst>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???.###E+00;\-???.###E+00;0"/>
    <numFmt numFmtId="165" formatCode="???.###E+00;\-###.###E+00;0"/>
    <numFmt numFmtId="166" formatCode="mm/dd/yyyy\ h:mm"/>
  </numFmts>
  <fonts count="18" x14ac:knownFonts="1">
    <font>
      <sz val="10"/>
      <name val="Arial"/>
    </font>
    <font>
      <sz val="10"/>
      <name val="Arial"/>
    </font>
    <font>
      <sz val="10"/>
      <name val="Courier New"/>
      <family val="3"/>
    </font>
    <font>
      <sz val="10"/>
      <color indexed="23"/>
      <name val="Courier New"/>
      <family val="3"/>
    </font>
    <font>
      <sz val="10"/>
      <color indexed="23"/>
      <name val="Arial"/>
    </font>
    <font>
      <b/>
      <sz val="10"/>
      <name val="Arial"/>
    </font>
    <font>
      <b/>
      <sz val="10"/>
      <name val="Arial"/>
      <family val="2"/>
    </font>
    <font>
      <sz val="10"/>
      <color rgb="FF808080"/>
      <name val="Arial"/>
      <family val="2"/>
    </font>
    <font>
      <sz val="10"/>
      <color rgb="FF808080"/>
      <name val="Courier New"/>
      <family val="3"/>
    </font>
    <font>
      <b/>
      <sz val="20"/>
      <color rgb="FF003399"/>
      <name val="Arial"/>
      <family val="2"/>
    </font>
    <font>
      <b/>
      <sz val="10"/>
      <color rgb="FF003399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sz val="8"/>
      <color rgb="FFD2EBFF"/>
      <name val="Arial"/>
      <family val="2"/>
    </font>
    <font>
      <sz val="10"/>
      <color indexed="23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u/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lightUp">
        <fgColor indexed="22"/>
      </patternFill>
    </fill>
    <fill>
      <patternFill patternType="solid">
        <fgColor indexed="9"/>
      </patternFill>
    </fill>
    <fill>
      <patternFill patternType="solid">
        <fgColor indexed="50"/>
      </patternFill>
    </fill>
    <fill>
      <patternFill patternType="lightUp">
        <fgColor rgb="FFC0C0C0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hair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</borders>
  <cellStyleXfs count="33">
    <xf numFmtId="0" fontId="0" fillId="0" borderId="0"/>
    <xf numFmtId="0" fontId="11" fillId="10" borderId="1"/>
    <xf numFmtId="165" fontId="3" fillId="2" borderId="2"/>
    <xf numFmtId="165" fontId="2" fillId="0" borderId="2"/>
    <xf numFmtId="0" fontId="4" fillId="3" borderId="2"/>
    <xf numFmtId="0" fontId="5" fillId="0" borderId="2"/>
    <xf numFmtId="164" fontId="1" fillId="0" borderId="2"/>
    <xf numFmtId="165" fontId="3" fillId="4" borderId="2"/>
    <xf numFmtId="49" fontId="7" fillId="5" borderId="2"/>
    <xf numFmtId="49" fontId="4" fillId="2" borderId="2"/>
    <xf numFmtId="0" fontId="13" fillId="9" borderId="0"/>
    <xf numFmtId="0" fontId="12" fillId="0" borderId="2"/>
    <xf numFmtId="164" fontId="1" fillId="7" borderId="2"/>
    <xf numFmtId="0" fontId="6" fillId="12" borderId="1"/>
    <xf numFmtId="0" fontId="6" fillId="0" borderId="0"/>
    <xf numFmtId="0" fontId="7" fillId="6" borderId="2"/>
    <xf numFmtId="0" fontId="6" fillId="0" borderId="2"/>
    <xf numFmtId="0" fontId="10" fillId="9" borderId="0"/>
    <xf numFmtId="164" fontId="8" fillId="5" borderId="2"/>
    <xf numFmtId="0" fontId="7" fillId="5" borderId="2"/>
    <xf numFmtId="164" fontId="2" fillId="0" borderId="2"/>
    <xf numFmtId="49" fontId="1" fillId="0" borderId="2"/>
    <xf numFmtId="0" fontId="7" fillId="8" borderId="2"/>
    <xf numFmtId="0" fontId="11" fillId="11" borderId="1"/>
    <xf numFmtId="164" fontId="8" fillId="6" borderId="2"/>
    <xf numFmtId="0" fontId="9" fillId="9" borderId="0"/>
    <xf numFmtId="0" fontId="12" fillId="0" borderId="0"/>
    <xf numFmtId="0" fontId="14" fillId="3" borderId="2"/>
    <xf numFmtId="0" fontId="6" fillId="0" borderId="2"/>
    <xf numFmtId="49" fontId="14" fillId="2" borderId="2"/>
    <xf numFmtId="49" fontId="12" fillId="0" borderId="2"/>
    <xf numFmtId="164" fontId="12" fillId="7" borderId="2"/>
    <xf numFmtId="0" fontId="15" fillId="0" borderId="0" applyNumberFormat="0" applyFill="0" applyBorder="0" applyAlignment="0" applyProtection="0"/>
  </cellStyleXfs>
  <cellXfs count="45">
    <xf numFmtId="0" fontId="0" fillId="0" borderId="0" xfId="0"/>
    <xf numFmtId="0" fontId="12" fillId="0" borderId="0" xfId="26"/>
    <xf numFmtId="0" fontId="12" fillId="0" borderId="0" xfId="26" applyFo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49" fontId="15" fillId="0" borderId="2" xfId="32" applyNumberFormat="1" applyBorder="1" applyAlignment="1">
      <alignment wrapText="1"/>
    </xf>
    <xf numFmtId="49" fontId="15" fillId="0" borderId="2" xfId="32" applyNumberFormat="1" applyBorder="1"/>
    <xf numFmtId="0" fontId="0" fillId="0" borderId="0" xfId="0"/>
    <xf numFmtId="0" fontId="0" fillId="0" borderId="0" xfId="0" applyAlignment="1">
      <alignment wrapText="1"/>
    </xf>
    <xf numFmtId="0" fontId="0" fillId="0" borderId="3" xfId="0" applyBorder="1"/>
    <xf numFmtId="0" fontId="13" fillId="9" borderId="0" xfId="10"/>
    <xf numFmtId="0" fontId="11" fillId="10" borderId="1" xfId="1" applyAlignment="1">
      <alignment wrapText="1"/>
    </xf>
    <xf numFmtId="0" fontId="6" fillId="12" borderId="1" xfId="13" applyAlignment="1">
      <alignment wrapText="1"/>
    </xf>
    <xf numFmtId="0" fontId="9" fillId="9" borderId="0" xfId="25"/>
    <xf numFmtId="49" fontId="1" fillId="0" borderId="2" xfId="21"/>
    <xf numFmtId="164" fontId="2" fillId="0" borderId="2" xfId="20"/>
    <xf numFmtId="0" fontId="12" fillId="0" borderId="2" xfId="11"/>
    <xf numFmtId="0" fontId="6" fillId="0" borderId="2" xfId="16"/>
    <xf numFmtId="49" fontId="6" fillId="0" borderId="2" xfId="16" applyNumberFormat="1"/>
    <xf numFmtId="0" fontId="6" fillId="0" borderId="0" xfId="14" applyAlignment="1">
      <alignment horizontal="right"/>
    </xf>
    <xf numFmtId="0" fontId="11" fillId="11" borderId="4" xfId="23" applyBorder="1" applyAlignment="1">
      <alignment horizontal="center" wrapText="1"/>
    </xf>
    <xf numFmtId="0" fontId="11" fillId="11" borderId="5" xfId="23" applyBorder="1" applyAlignment="1">
      <alignment horizontal="center" wrapText="1"/>
    </xf>
    <xf numFmtId="0" fontId="11" fillId="11" borderId="6" xfId="23" applyBorder="1" applyAlignment="1">
      <alignment horizontal="center" wrapText="1"/>
    </xf>
    <xf numFmtId="0" fontId="7" fillId="5" borderId="2" xfId="19"/>
    <xf numFmtId="49" fontId="7" fillId="5" borderId="2" xfId="8"/>
    <xf numFmtId="0" fontId="7" fillId="8" borderId="2" xfId="22"/>
    <xf numFmtId="49" fontId="6" fillId="0" borderId="0" xfId="16" applyNumberFormat="1" applyBorder="1" applyAlignment="1"/>
    <xf numFmtId="49" fontId="6" fillId="0" borderId="3" xfId="16" applyNumberFormat="1" applyBorder="1" applyAlignment="1">
      <alignment vertical="top"/>
    </xf>
    <xf numFmtId="0" fontId="12" fillId="0" borderId="3" xfId="11" applyBorder="1"/>
    <xf numFmtId="49" fontId="1" fillId="0" borderId="2" xfId="21" quotePrefix="1"/>
    <xf numFmtId="49" fontId="1" fillId="0" borderId="2" xfId="21" quotePrefix="1" applyNumberFormat="1"/>
    <xf numFmtId="0" fontId="11" fillId="11" borderId="1" xfId="23" applyAlignment="1">
      <alignment horizontal="centerContinuous" wrapText="1"/>
    </xf>
    <xf numFmtId="164" fontId="8" fillId="5" borderId="2" xfId="18"/>
    <xf numFmtId="49" fontId="1" fillId="0" borderId="2" xfId="21" applyNumberFormat="1"/>
    <xf numFmtId="49" fontId="7" fillId="5" borderId="2" xfId="8" quotePrefix="1"/>
    <xf numFmtId="49" fontId="1" fillId="0" borderId="0" xfId="21" quotePrefix="1" applyNumberFormat="1" applyBorder="1" applyAlignment="1"/>
    <xf numFmtId="49" fontId="1" fillId="0" borderId="2" xfId="21" applyAlignment="1">
      <alignment wrapText="1"/>
    </xf>
    <xf numFmtId="49" fontId="1" fillId="0" borderId="0" xfId="21" applyBorder="1" applyAlignment="1"/>
    <xf numFmtId="0" fontId="7" fillId="8" borderId="0" xfId="22" applyBorder="1" applyAlignment="1"/>
    <xf numFmtId="49" fontId="1" fillId="0" borderId="3" xfId="21" quotePrefix="1" applyBorder="1" applyAlignment="1">
      <alignment vertical="top"/>
    </xf>
    <xf numFmtId="0" fontId="17" fillId="0" borderId="2" xfId="32" applyFont="1" applyBorder="1"/>
    <xf numFmtId="11" fontId="16" fillId="0" borderId="0" xfId="11" applyNumberFormat="1" applyFont="1" applyBorder="1"/>
  </cellXfs>
  <cellStyles count="33">
    <cellStyle name="Hyperlink" xfId="32" builtinId="8"/>
    <cellStyle name="Normal" xfId="0" builtinId="0"/>
    <cellStyle name="Normal 2" xfId="26"/>
    <cellStyle name="terColOpt" xfId="13"/>
    <cellStyle name="terColReqd" xfId="1"/>
    <cellStyle name="terColTop" xfId="23"/>
    <cellStyle name="terEngr" xfId="20"/>
    <cellStyle name="terEngr__i" xfId="18"/>
    <cellStyle name="terEngrBack" xfId="2"/>
    <cellStyle name="terEngrFore" xfId="3"/>
    <cellStyle name="terEngrReadOnly" xfId="24"/>
    <cellStyle name="terError" xfId="12"/>
    <cellStyle name="terError 2" xfId="31"/>
    <cellStyle name="terError__i" xfId="6"/>
    <cellStyle name="terGroup" xfId="16"/>
    <cellStyle name="terGroup__i" xfId="22"/>
    <cellStyle name="terGroupBack" xfId="4"/>
    <cellStyle name="terGroupBack 2" xfId="27"/>
    <cellStyle name="terGroupFore" xfId="5"/>
    <cellStyle name="terGroupFore 2" xfId="28"/>
    <cellStyle name="terLabel" xfId="14"/>
    <cellStyle name="terNormal" xfId="11"/>
    <cellStyle name="terNormal__i" xfId="19"/>
    <cellStyle name="terNormalReadOnly" xfId="15"/>
    <cellStyle name="terReadOnly" xfId="7"/>
    <cellStyle name="terText" xfId="21"/>
    <cellStyle name="terText 2" xfId="30"/>
    <cellStyle name="terText__i" xfId="8"/>
    <cellStyle name="terTextBack" xfId="9"/>
    <cellStyle name="terTextBack 2" xfId="29"/>
    <cellStyle name="terTitle" xfId="25"/>
    <cellStyle name="terTitleBar" xfId="17"/>
    <cellStyle name="terVersion" xfId="1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3399"/>
      <rgbColor rgb="00D2EBFF"/>
      <rgbColor rgb="00FFC0C0"/>
      <rgbColor rgb="00E0E0E0"/>
      <rgbColor rgb="000000FF"/>
      <rgbColor rgb="00FF0000"/>
      <rgbColor rgb="00008000"/>
      <rgbColor rgb="00008080"/>
      <rgbColor rgb="00FFFFFF"/>
      <rgbColor rgb="00000000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0</xdr:row>
      <xdr:rowOff>63500</xdr:rowOff>
    </xdr:from>
    <xdr:to>
      <xdr:col>4</xdr:col>
      <xdr:colOff>1257300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12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25400</xdr:colOff>
      <xdr:row>0</xdr:row>
      <xdr:rowOff>63500</xdr:rowOff>
    </xdr:from>
    <xdr:to>
      <xdr:col>9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850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12700</xdr:rowOff>
        </xdr:from>
        <xdr:to>
          <xdr:col>2</xdr:col>
          <xdr:colOff>190500</xdr:colOff>
          <xdr:row>6</xdr:row>
          <xdr:rowOff>209550</xdr:rowOff>
        </xdr:to>
        <xdr:sp macro="" textlink="">
          <xdr:nvSpPr>
            <xdr:cNvPr id="4128" name="ComboBox21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164</xdr:row>
          <xdr:rowOff>12700</xdr:rowOff>
        </xdr:from>
        <xdr:to>
          <xdr:col>4</xdr:col>
          <xdr:colOff>190500</xdr:colOff>
          <xdr:row>164</xdr:row>
          <xdr:rowOff>209550</xdr:rowOff>
        </xdr:to>
        <xdr:sp macro="" textlink="">
          <xdr:nvSpPr>
            <xdr:cNvPr id="4129" name="ComboBox22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63500</xdr:rowOff>
    </xdr:from>
    <xdr:to>
      <xdr:col>9</xdr:col>
      <xdr:colOff>361950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63500"/>
          <a:ext cx="1231900" cy="254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0</xdr:rowOff>
    </xdr:from>
    <xdr:to>
      <xdr:col>0</xdr:col>
      <xdr:colOff>355600</xdr:colOff>
      <xdr:row>5</xdr:row>
      <xdr:rowOff>0</xdr:rowOff>
    </xdr:to>
    <xdr:sp macro="" textlink="">
      <xdr:nvSpPr>
        <xdr:cNvPr id="3" name="Right Arrow 2" hidden="1"/>
        <xdr:cNvSpPr/>
      </xdr:nvSpPr>
      <xdr:spPr bwMode="auto">
        <a:xfrm>
          <a:off x="152400" y="1000125"/>
          <a:ext cx="203200" cy="228600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</xdr:row>
          <xdr:rowOff>12700</xdr:rowOff>
        </xdr:from>
        <xdr:to>
          <xdr:col>7</xdr:col>
          <xdr:colOff>190500</xdr:colOff>
          <xdr:row>4</xdr:row>
          <xdr:rowOff>209550</xdr:rowOff>
        </xdr:to>
        <xdr:sp macro="" textlink="">
          <xdr:nvSpPr>
            <xdr:cNvPr id="6217" name="ComboBox21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67</xdr:row>
          <xdr:rowOff>12700</xdr:rowOff>
        </xdr:from>
        <xdr:to>
          <xdr:col>8</xdr:col>
          <xdr:colOff>190500</xdr:colOff>
          <xdr:row>67</xdr:row>
          <xdr:rowOff>209550</xdr:rowOff>
        </xdr:to>
        <xdr:sp macro="" textlink="">
          <xdr:nvSpPr>
            <xdr:cNvPr id="6218" name="ComboBox22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79</xdr:row>
          <xdr:rowOff>12700</xdr:rowOff>
        </xdr:from>
        <xdr:to>
          <xdr:col>7</xdr:col>
          <xdr:colOff>190500</xdr:colOff>
          <xdr:row>86</xdr:row>
          <xdr:rowOff>196850</xdr:rowOff>
        </xdr:to>
        <xdr:sp macro="" textlink="">
          <xdr:nvSpPr>
            <xdr:cNvPr id="6219" name="ComboBox23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387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2</xdr:col>
          <xdr:colOff>190500</xdr:colOff>
          <xdr:row>3</xdr:row>
          <xdr:rowOff>209550</xdr:rowOff>
        </xdr:to>
        <xdr:sp macro="" textlink="">
          <xdr:nvSpPr>
            <xdr:cNvPr id="7283" name="ComboBox21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6</xdr:col>
      <xdr:colOff>361950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25" y="63500"/>
          <a:ext cx="1231900" cy="25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riginalProgram/PROGRA~1/Teradyne/IG-XL/bin/Data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G22"/>
  <sheetViews>
    <sheetView showGridLines="0" workbookViewId="0">
      <pane ySplit="3" topLeftCell="A4" activePane="bottomLeft" state="frozen"/>
      <selection pane="bottomLeft" activeCell="B16" sqref="B16"/>
    </sheetView>
  </sheetViews>
  <sheetFormatPr defaultRowHeight="18.600000000000001" customHeight="1" x14ac:dyDescent="0.2"/>
  <cols>
    <col min="2" max="2" width="17.5703125" customWidth="1"/>
    <col min="3" max="6" width="21.85546875" customWidth="1"/>
    <col min="7" max="7" width="42.85546875" customWidth="1"/>
  </cols>
  <sheetData>
    <row r="1" spans="1:7" ht="26.25" x14ac:dyDescent="0.4">
      <c r="A1" s="13" t="s">
        <v>190</v>
      </c>
      <c r="B1" s="16" t="s">
        <v>93</v>
      </c>
      <c r="C1" s="16"/>
      <c r="D1" s="16"/>
    </row>
    <row r="2" spans="1:7" ht="13.5" thickBot="1" x14ac:dyDescent="0.25"/>
    <row r="3" spans="1:7" s="11" customFormat="1" ht="13.5" thickBot="1" x14ac:dyDescent="0.25">
      <c r="B3" s="15" t="s">
        <v>92</v>
      </c>
      <c r="C3" s="15" t="s">
        <v>14</v>
      </c>
      <c r="D3" s="15" t="s">
        <v>21</v>
      </c>
      <c r="E3" s="15" t="s">
        <v>22</v>
      </c>
      <c r="F3" s="15" t="s">
        <v>23</v>
      </c>
      <c r="G3" s="15" t="s">
        <v>191</v>
      </c>
    </row>
    <row r="4" spans="1:7" s="11" customFormat="1" ht="12.75" x14ac:dyDescent="0.2">
      <c r="B4" s="17" t="s">
        <v>211</v>
      </c>
      <c r="C4" s="43" t="s">
        <v>2351</v>
      </c>
      <c r="D4" s="39"/>
      <c r="E4" s="39"/>
      <c r="F4" s="39"/>
      <c r="G4" s="39"/>
    </row>
    <row r="5" spans="1:7" s="11" customFormat="1" ht="12.75" x14ac:dyDescent="0.2">
      <c r="B5" s="17" t="s">
        <v>88</v>
      </c>
      <c r="C5" s="43" t="s">
        <v>2361</v>
      </c>
      <c r="D5" s="39"/>
      <c r="E5" s="39"/>
      <c r="F5" s="39"/>
      <c r="G5" s="39"/>
    </row>
    <row r="6" spans="1:7" s="11" customFormat="1" ht="12.75" x14ac:dyDescent="0.2">
      <c r="B6" s="17" t="s">
        <v>12</v>
      </c>
      <c r="C6" s="43" t="s">
        <v>12</v>
      </c>
      <c r="D6" s="39"/>
      <c r="E6" s="39"/>
      <c r="F6" s="39"/>
      <c r="G6" s="39"/>
    </row>
    <row r="7" spans="1:7" s="11" customFormat="1" ht="12.75" x14ac:dyDescent="0.2">
      <c r="B7" s="17" t="s">
        <v>4</v>
      </c>
      <c r="C7" s="43" t="s">
        <v>2362</v>
      </c>
      <c r="D7" s="39"/>
      <c r="E7" s="39"/>
      <c r="F7" s="39"/>
      <c r="G7" s="39"/>
    </row>
    <row r="8" spans="1:7" s="11" customFormat="1" ht="12.75" x14ac:dyDescent="0.2">
      <c r="B8" s="17" t="s">
        <v>66</v>
      </c>
      <c r="C8" s="43" t="s">
        <v>66</v>
      </c>
      <c r="D8" s="39"/>
      <c r="E8" s="39"/>
      <c r="F8" s="39"/>
      <c r="G8" s="39"/>
    </row>
    <row r="9" spans="1:7" s="11" customFormat="1" ht="12.75" x14ac:dyDescent="0.2">
      <c r="A9" s="10"/>
      <c r="B9" s="17" t="s">
        <v>216</v>
      </c>
      <c r="C9" s="43" t="s">
        <v>553</v>
      </c>
      <c r="D9" s="8" t="s">
        <v>21</v>
      </c>
      <c r="E9" s="39"/>
      <c r="F9" s="9" t="s">
        <v>270</v>
      </c>
      <c r="G9" s="39" t="s">
        <v>2363</v>
      </c>
    </row>
    <row r="10" spans="1:7" s="11" customFormat="1" ht="12.75" x14ac:dyDescent="0.2">
      <c r="A10" s="10"/>
      <c r="B10" s="17" t="s">
        <v>216</v>
      </c>
      <c r="C10" s="43" t="s">
        <v>584</v>
      </c>
      <c r="D10" s="8" t="s">
        <v>21</v>
      </c>
      <c r="E10" s="39"/>
      <c r="F10" s="9" t="s">
        <v>270</v>
      </c>
      <c r="G10" s="39" t="s">
        <v>2363</v>
      </c>
    </row>
    <row r="11" spans="1:7" s="11" customFormat="1" ht="12.75" x14ac:dyDescent="0.2">
      <c r="A11" s="10"/>
      <c r="B11" s="17" t="s">
        <v>216</v>
      </c>
      <c r="C11" s="43" t="s">
        <v>554</v>
      </c>
      <c r="D11" s="8" t="s">
        <v>21</v>
      </c>
      <c r="E11" s="39"/>
      <c r="F11" s="9" t="s">
        <v>270</v>
      </c>
      <c r="G11" s="39" t="s">
        <v>2363</v>
      </c>
    </row>
    <row r="12" spans="1:7" s="11" customFormat="1" ht="12.75" x14ac:dyDescent="0.2">
      <c r="A12" s="10"/>
      <c r="B12" s="17" t="s">
        <v>216</v>
      </c>
      <c r="C12" s="43" t="s">
        <v>557</v>
      </c>
      <c r="D12" s="8" t="s">
        <v>21</v>
      </c>
      <c r="E12" s="39"/>
      <c r="F12" s="9" t="s">
        <v>270</v>
      </c>
      <c r="G12" s="39" t="s">
        <v>2363</v>
      </c>
    </row>
    <row r="13" spans="1:7" s="11" customFormat="1" ht="12.75" x14ac:dyDescent="0.2">
      <c r="A13" s="10"/>
      <c r="B13" s="17" t="s">
        <v>216</v>
      </c>
      <c r="C13" s="43" t="s">
        <v>559</v>
      </c>
      <c r="D13" s="8" t="s">
        <v>21</v>
      </c>
      <c r="E13" s="39"/>
      <c r="F13" s="9" t="s">
        <v>270</v>
      </c>
      <c r="G13" s="39" t="s">
        <v>2363</v>
      </c>
    </row>
    <row r="14" spans="1:7" s="11" customFormat="1" ht="12.75" x14ac:dyDescent="0.2">
      <c r="A14" s="10"/>
      <c r="B14" s="17" t="s">
        <v>216</v>
      </c>
      <c r="C14" s="43" t="s">
        <v>571</v>
      </c>
      <c r="D14" s="8" t="s">
        <v>21</v>
      </c>
      <c r="E14" s="39"/>
      <c r="F14" s="9" t="s">
        <v>270</v>
      </c>
      <c r="G14" s="39" t="s">
        <v>2363</v>
      </c>
    </row>
    <row r="15" spans="1:7" s="11" customFormat="1" ht="12.75" x14ac:dyDescent="0.2">
      <c r="A15" s="10"/>
      <c r="B15" s="17" t="s">
        <v>216</v>
      </c>
      <c r="C15" s="43" t="s">
        <v>575</v>
      </c>
      <c r="D15" s="8" t="s">
        <v>21</v>
      </c>
      <c r="E15" s="39"/>
      <c r="F15" s="9" t="s">
        <v>270</v>
      </c>
      <c r="G15" s="39" t="s">
        <v>2363</v>
      </c>
    </row>
    <row r="16" spans="1:7" ht="18.600000000000001" customHeight="1" x14ac:dyDescent="0.2">
      <c r="B16" s="36"/>
      <c r="C16" s="17"/>
      <c r="D16" s="39"/>
      <c r="E16" s="39"/>
      <c r="F16" s="39"/>
      <c r="G16" s="39"/>
    </row>
    <row r="17" spans="4:7" ht="18.600000000000001" customHeight="1" x14ac:dyDescent="0.2">
      <c r="D17" s="11"/>
      <c r="E17" s="11"/>
      <c r="F17" s="11"/>
      <c r="G17" s="11"/>
    </row>
    <row r="18" spans="4:7" ht="18.600000000000001" customHeight="1" x14ac:dyDescent="0.2">
      <c r="D18" s="11"/>
      <c r="E18" s="11"/>
      <c r="F18" s="11"/>
      <c r="G18" s="11"/>
    </row>
    <row r="19" spans="4:7" ht="18.600000000000001" customHeight="1" x14ac:dyDescent="0.2">
      <c r="D19" s="11"/>
      <c r="E19" s="11"/>
      <c r="F19" s="11"/>
      <c r="G19" s="11"/>
    </row>
    <row r="20" spans="4:7" ht="18.600000000000001" customHeight="1" x14ac:dyDescent="0.2">
      <c r="D20" s="11"/>
      <c r="E20" s="11"/>
      <c r="F20" s="11"/>
      <c r="G20" s="11"/>
    </row>
    <row r="21" spans="4:7" ht="18.600000000000001" customHeight="1" x14ac:dyDescent="0.2">
      <c r="D21" s="11"/>
      <c r="E21" s="11"/>
      <c r="F21" s="11"/>
      <c r="G21" s="11"/>
    </row>
    <row r="22" spans="4:7" ht="18.600000000000001" customHeight="1" x14ac:dyDescent="0.2">
      <c r="D22" s="11"/>
      <c r="E22" s="11"/>
      <c r="F22" s="11"/>
      <c r="G22" s="11"/>
    </row>
  </sheetData>
  <sheetProtection sheet="1" objects="1" scenarios="1" insertHyperlinks="0" autoFilter="0"/>
  <mergeCells count="1">
    <mergeCell ref="B1:D1"/>
  </mergeCells>
  <hyperlinks>
    <hyperlink ref="C4" location="'ChanMap28x'!$A$1" display="ChanMap28x"/>
    <hyperlink ref="C5" location="'8.10.14-flowtable'!$A$1" display="8.10.14-flowtable"/>
    <hyperlink ref="C6" location="'Global Specs'!$A$1" display="Global Specs"/>
    <hyperlink ref="C7" location="'Pinmap'!$A$1" display="Pinmap"/>
    <hyperlink ref="C8" location="'Test Instances'!$A$1" display="Test Instances"/>
    <hyperlink ref="C9" location="'Test Instances'!$B$18" display="UC12"/>
    <hyperlink ref="D9" location="'Time Sets'!$A$1" display="Time Sets"/>
    <hyperlink ref="F9" location="'Levels'!$A$1" display="Levels"/>
    <hyperlink ref="C10" location="'Test Instances'!$B$23" display="UC17"/>
    <hyperlink ref="D10" location="'Time Sets'!$A$1" display="Time Sets"/>
    <hyperlink ref="F10" location="'Levels'!$A$1" display="Levels"/>
    <hyperlink ref="C11" location="'Test Instances'!$B$20" display="UC14"/>
    <hyperlink ref="D11" location="'Time Sets'!$A$1" display="Time Sets"/>
    <hyperlink ref="F11" location="'Levels'!$A$1" display="Levels"/>
    <hyperlink ref="C12" location="'Test Instances'!$B$10" display="UC04"/>
    <hyperlink ref="D12" location="'Time Sets'!$A$1" display="Time Sets"/>
    <hyperlink ref="F12" location="'Levels'!$A$1" display="Levels"/>
    <hyperlink ref="C13" location="'Test Instances'!$B$11" display="UC05"/>
    <hyperlink ref="D13" location="'Time Sets'!$A$1" display="Time Sets"/>
    <hyperlink ref="F13" location="'Levels'!$A$1" display="Levels"/>
    <hyperlink ref="C14" location="'Test Instances'!$B$15" display="UC09"/>
    <hyperlink ref="D14" location="'Time Sets'!$A$1" display="Time Sets"/>
    <hyperlink ref="F14" location="'Levels'!$A$1" display="Levels"/>
    <hyperlink ref="C15" location="'Test Instances'!$B$19" display="UC13"/>
    <hyperlink ref="D15" location="'Time Sets'!$A$1" display="Time Sets"/>
    <hyperlink ref="F15" location="'Levels'!$A$1" display="Levels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E349"/>
  <sheetViews>
    <sheetView showGridLines="0" workbookViewId="0">
      <pane ySplit="3" topLeftCell="A4" activePane="bottomLeft" state="frozen"/>
      <selection pane="bottomLeft" activeCell="C4" sqref="C4"/>
    </sheetView>
  </sheetViews>
  <sheetFormatPr defaultColWidth="9.140625" defaultRowHeight="18.600000000000001" customHeight="1" outlineLevelRow="1" x14ac:dyDescent="0.2"/>
  <cols>
    <col min="1" max="1" width="9.140625" style="10"/>
    <col min="2" max="2" width="17.5703125" style="10" customWidth="1"/>
    <col min="3" max="4" width="13.42578125" style="10" customWidth="1"/>
    <col min="5" max="5" width="42.85546875" style="10" customWidth="1"/>
    <col min="6" max="16384" width="9.140625" style="10"/>
  </cols>
  <sheetData>
    <row r="1" spans="1:5" ht="25.5" customHeight="1" x14ac:dyDescent="0.4">
      <c r="A1" s="13" t="s">
        <v>194</v>
      </c>
      <c r="B1" s="16" t="s">
        <v>4</v>
      </c>
      <c r="C1" s="16"/>
      <c r="D1" s="16"/>
      <c r="E1" s="16"/>
    </row>
    <row r="2" spans="1:5" ht="13.5" thickBot="1" x14ac:dyDescent="0.25">
      <c r="D2" s="22" t="s">
        <v>202</v>
      </c>
      <c r="E2" s="31"/>
    </row>
    <row r="3" spans="1:5" s="11" customFormat="1" ht="13.5" thickBot="1" x14ac:dyDescent="0.25">
      <c r="B3" s="15" t="s">
        <v>0</v>
      </c>
      <c r="C3" s="14" t="s">
        <v>1</v>
      </c>
      <c r="D3" s="14" t="s">
        <v>2</v>
      </c>
      <c r="E3" s="15" t="s">
        <v>3</v>
      </c>
    </row>
    <row r="4" spans="1:5" ht="18.600000000000001" customHeight="1" x14ac:dyDescent="0.2">
      <c r="B4" s="17"/>
      <c r="C4" s="33" t="s">
        <v>307</v>
      </c>
      <c r="D4" s="32" t="s">
        <v>213</v>
      </c>
      <c r="E4" s="19"/>
    </row>
    <row r="5" spans="1:5" ht="18.600000000000001" customHeight="1" x14ac:dyDescent="0.2">
      <c r="B5" s="17"/>
      <c r="C5" s="32" t="s">
        <v>308</v>
      </c>
      <c r="D5" s="32" t="s">
        <v>213</v>
      </c>
      <c r="E5" s="19"/>
    </row>
    <row r="6" spans="1:5" ht="18.600000000000001" customHeight="1" x14ac:dyDescent="0.2">
      <c r="B6" s="17"/>
      <c r="C6" s="32" t="s">
        <v>309</v>
      </c>
      <c r="D6" s="32" t="s">
        <v>552</v>
      </c>
      <c r="E6" s="19"/>
    </row>
    <row r="7" spans="1:5" ht="18.600000000000001" customHeight="1" x14ac:dyDescent="0.2">
      <c r="B7" s="17"/>
      <c r="C7" s="32" t="s">
        <v>311</v>
      </c>
      <c r="D7" s="32" t="s">
        <v>552</v>
      </c>
      <c r="E7" s="19"/>
    </row>
    <row r="8" spans="1:5" ht="18.600000000000001" customHeight="1" x14ac:dyDescent="0.2">
      <c r="B8" s="17"/>
      <c r="C8" s="32" t="s">
        <v>312</v>
      </c>
      <c r="D8" s="32" t="s">
        <v>552</v>
      </c>
      <c r="E8" s="19"/>
    </row>
    <row r="9" spans="1:5" ht="18.600000000000001" customHeight="1" x14ac:dyDescent="0.2">
      <c r="B9" s="17"/>
      <c r="C9" s="32" t="s">
        <v>313</v>
      </c>
      <c r="D9" s="32" t="s">
        <v>552</v>
      </c>
      <c r="E9" s="19"/>
    </row>
    <row r="10" spans="1:5" ht="18.600000000000001" customHeight="1" x14ac:dyDescent="0.2">
      <c r="B10" s="17"/>
      <c r="C10" s="32" t="s">
        <v>314</v>
      </c>
      <c r="D10" s="32" t="s">
        <v>552</v>
      </c>
      <c r="E10" s="19"/>
    </row>
    <row r="11" spans="1:5" ht="18.600000000000001" customHeight="1" x14ac:dyDescent="0.2">
      <c r="B11" s="17"/>
      <c r="C11" s="32" t="s">
        <v>315</v>
      </c>
      <c r="D11" s="32" t="s">
        <v>552</v>
      </c>
      <c r="E11" s="19"/>
    </row>
    <row r="12" spans="1:5" ht="18.600000000000001" customHeight="1" x14ac:dyDescent="0.2">
      <c r="B12" s="17"/>
      <c r="C12" s="32" t="s">
        <v>316</v>
      </c>
      <c r="D12" s="32" t="s">
        <v>552</v>
      </c>
      <c r="E12" s="19"/>
    </row>
    <row r="13" spans="1:5" ht="18.600000000000001" customHeight="1" x14ac:dyDescent="0.2">
      <c r="B13" s="17"/>
      <c r="C13" s="32" t="s">
        <v>317</v>
      </c>
      <c r="D13" s="32" t="s">
        <v>552</v>
      </c>
      <c r="E13" s="19"/>
    </row>
    <row r="14" spans="1:5" ht="18.600000000000001" customHeight="1" x14ac:dyDescent="0.2">
      <c r="B14" s="17"/>
      <c r="C14" s="32" t="s">
        <v>318</v>
      </c>
      <c r="D14" s="32" t="s">
        <v>552</v>
      </c>
      <c r="E14" s="19"/>
    </row>
    <row r="15" spans="1:5" ht="18.600000000000001" customHeight="1" x14ac:dyDescent="0.2">
      <c r="B15" s="17"/>
      <c r="C15" s="32" t="s">
        <v>319</v>
      </c>
      <c r="D15" s="32" t="s">
        <v>552</v>
      </c>
      <c r="E15" s="19"/>
    </row>
    <row r="16" spans="1:5" ht="18.600000000000001" customHeight="1" x14ac:dyDescent="0.2">
      <c r="B16" s="17"/>
      <c r="C16" s="32" t="s">
        <v>320</v>
      </c>
      <c r="D16" s="32" t="s">
        <v>552</v>
      </c>
      <c r="E16" s="19"/>
    </row>
    <row r="17" spans="2:5" ht="18.600000000000001" customHeight="1" x14ac:dyDescent="0.2">
      <c r="B17" s="17"/>
      <c r="C17" s="32" t="s">
        <v>321</v>
      </c>
      <c r="D17" s="32" t="s">
        <v>552</v>
      </c>
      <c r="E17" s="19"/>
    </row>
    <row r="18" spans="2:5" ht="18.600000000000001" customHeight="1" x14ac:dyDescent="0.2">
      <c r="B18" s="17"/>
      <c r="C18" s="32" t="s">
        <v>322</v>
      </c>
      <c r="D18" s="32" t="s">
        <v>552</v>
      </c>
      <c r="E18" s="19"/>
    </row>
    <row r="19" spans="2:5" ht="18.600000000000001" customHeight="1" x14ac:dyDescent="0.2">
      <c r="B19" s="17"/>
      <c r="C19" s="32" t="s">
        <v>323</v>
      </c>
      <c r="D19" s="32" t="s">
        <v>552</v>
      </c>
      <c r="E19" s="19"/>
    </row>
    <row r="20" spans="2:5" ht="18.600000000000001" customHeight="1" x14ac:dyDescent="0.2">
      <c r="B20" s="17"/>
      <c r="C20" s="32" t="s">
        <v>324</v>
      </c>
      <c r="D20" s="32" t="s">
        <v>552</v>
      </c>
      <c r="E20" s="19"/>
    </row>
    <row r="21" spans="2:5" ht="18.600000000000001" customHeight="1" x14ac:dyDescent="0.2">
      <c r="B21" s="17"/>
      <c r="C21" s="32" t="s">
        <v>325</v>
      </c>
      <c r="D21" s="32" t="s">
        <v>552</v>
      </c>
      <c r="E21" s="19"/>
    </row>
    <row r="22" spans="2:5" ht="18.600000000000001" customHeight="1" x14ac:dyDescent="0.2">
      <c r="B22" s="17"/>
      <c r="C22" s="32" t="s">
        <v>326</v>
      </c>
      <c r="D22" s="32" t="s">
        <v>552</v>
      </c>
      <c r="E22" s="19"/>
    </row>
    <row r="23" spans="2:5" ht="18.600000000000001" customHeight="1" x14ac:dyDescent="0.2">
      <c r="B23" s="17"/>
      <c r="C23" s="32" t="s">
        <v>327</v>
      </c>
      <c r="D23" s="32" t="s">
        <v>552</v>
      </c>
      <c r="E23" s="19"/>
    </row>
    <row r="24" spans="2:5" ht="18.600000000000001" customHeight="1" x14ac:dyDescent="0.2">
      <c r="B24" s="17"/>
      <c r="C24" s="32" t="s">
        <v>328</v>
      </c>
      <c r="D24" s="32" t="s">
        <v>552</v>
      </c>
      <c r="E24" s="19"/>
    </row>
    <row r="25" spans="2:5" ht="18.600000000000001" customHeight="1" x14ac:dyDescent="0.2">
      <c r="B25" s="17"/>
      <c r="C25" s="32" t="s">
        <v>329</v>
      </c>
      <c r="D25" s="32" t="s">
        <v>552</v>
      </c>
      <c r="E25" s="19"/>
    </row>
    <row r="26" spans="2:5" ht="18.600000000000001" customHeight="1" x14ac:dyDescent="0.2">
      <c r="B26" s="17"/>
      <c r="C26" s="32" t="s">
        <v>330</v>
      </c>
      <c r="D26" s="32" t="s">
        <v>552</v>
      </c>
      <c r="E26" s="19"/>
    </row>
    <row r="27" spans="2:5" ht="18.600000000000001" customHeight="1" x14ac:dyDescent="0.2">
      <c r="B27" s="17"/>
      <c r="C27" s="32" t="s">
        <v>331</v>
      </c>
      <c r="D27" s="32" t="s">
        <v>552</v>
      </c>
      <c r="E27" s="19"/>
    </row>
    <row r="28" spans="2:5" ht="18.600000000000001" customHeight="1" x14ac:dyDescent="0.2">
      <c r="B28" s="17"/>
      <c r="C28" s="32" t="s">
        <v>332</v>
      </c>
      <c r="D28" s="32" t="s">
        <v>552</v>
      </c>
      <c r="E28" s="19"/>
    </row>
    <row r="29" spans="2:5" ht="18.600000000000001" customHeight="1" x14ac:dyDescent="0.2">
      <c r="B29" s="17"/>
      <c r="C29" s="32" t="s">
        <v>333</v>
      </c>
      <c r="D29" s="32" t="s">
        <v>552</v>
      </c>
      <c r="E29" s="19"/>
    </row>
    <row r="30" spans="2:5" ht="18.600000000000001" customHeight="1" x14ac:dyDescent="0.2">
      <c r="B30" s="17"/>
      <c r="C30" s="32" t="s">
        <v>334</v>
      </c>
      <c r="D30" s="32" t="s">
        <v>552</v>
      </c>
      <c r="E30" s="19"/>
    </row>
    <row r="31" spans="2:5" ht="18.600000000000001" customHeight="1" x14ac:dyDescent="0.2">
      <c r="B31" s="17"/>
      <c r="C31" s="32" t="s">
        <v>335</v>
      </c>
      <c r="D31" s="32" t="s">
        <v>552</v>
      </c>
      <c r="E31" s="19"/>
    </row>
    <row r="32" spans="2:5" ht="18.600000000000001" customHeight="1" x14ac:dyDescent="0.2">
      <c r="B32" s="17"/>
      <c r="C32" s="32" t="s">
        <v>336</v>
      </c>
      <c r="D32" s="32" t="s">
        <v>552</v>
      </c>
      <c r="E32" s="19"/>
    </row>
    <row r="33" spans="2:5" ht="18.600000000000001" customHeight="1" x14ac:dyDescent="0.2">
      <c r="B33" s="17"/>
      <c r="C33" s="32" t="s">
        <v>337</v>
      </c>
      <c r="D33" s="32" t="s">
        <v>552</v>
      </c>
      <c r="E33" s="19"/>
    </row>
    <row r="34" spans="2:5" ht="18.600000000000001" customHeight="1" x14ac:dyDescent="0.2">
      <c r="B34" s="17"/>
      <c r="C34" s="32" t="s">
        <v>338</v>
      </c>
      <c r="D34" s="32" t="s">
        <v>552</v>
      </c>
      <c r="E34" s="19"/>
    </row>
    <row r="35" spans="2:5" ht="18.600000000000001" customHeight="1" x14ac:dyDescent="0.2">
      <c r="B35" s="17"/>
      <c r="C35" s="32" t="s">
        <v>339</v>
      </c>
      <c r="D35" s="32" t="s">
        <v>552</v>
      </c>
      <c r="E35" s="19"/>
    </row>
    <row r="36" spans="2:5" ht="18.600000000000001" customHeight="1" x14ac:dyDescent="0.2">
      <c r="B36" s="17"/>
      <c r="C36" s="32" t="s">
        <v>340</v>
      </c>
      <c r="D36" s="32" t="s">
        <v>552</v>
      </c>
      <c r="E36" s="19"/>
    </row>
    <row r="37" spans="2:5" ht="18.600000000000001" customHeight="1" x14ac:dyDescent="0.2">
      <c r="B37" s="17"/>
      <c r="C37" s="32" t="s">
        <v>341</v>
      </c>
      <c r="D37" s="32" t="s">
        <v>552</v>
      </c>
      <c r="E37" s="19"/>
    </row>
    <row r="38" spans="2:5" ht="18.600000000000001" customHeight="1" x14ac:dyDescent="0.2">
      <c r="B38" s="17"/>
      <c r="C38" s="32" t="s">
        <v>342</v>
      </c>
      <c r="D38" s="32" t="s">
        <v>552</v>
      </c>
      <c r="E38" s="19"/>
    </row>
    <row r="39" spans="2:5" ht="18.600000000000001" customHeight="1" x14ac:dyDescent="0.2">
      <c r="B39" s="17"/>
      <c r="C39" s="32" t="s">
        <v>343</v>
      </c>
      <c r="D39" s="32" t="s">
        <v>552</v>
      </c>
      <c r="E39" s="19"/>
    </row>
    <row r="40" spans="2:5" ht="18.600000000000001" customHeight="1" x14ac:dyDescent="0.2">
      <c r="B40" s="17"/>
      <c r="C40" s="32" t="s">
        <v>344</v>
      </c>
      <c r="D40" s="32" t="s">
        <v>552</v>
      </c>
      <c r="E40" s="19"/>
    </row>
    <row r="41" spans="2:5" ht="18.600000000000001" customHeight="1" x14ac:dyDescent="0.2">
      <c r="B41" s="17"/>
      <c r="C41" s="32" t="s">
        <v>345</v>
      </c>
      <c r="D41" s="32" t="s">
        <v>552</v>
      </c>
      <c r="E41" s="19"/>
    </row>
    <row r="42" spans="2:5" ht="18.600000000000001" customHeight="1" x14ac:dyDescent="0.2">
      <c r="B42" s="17"/>
      <c r="C42" s="32" t="s">
        <v>346</v>
      </c>
      <c r="D42" s="32" t="s">
        <v>552</v>
      </c>
      <c r="E42" s="19"/>
    </row>
    <row r="43" spans="2:5" ht="18.600000000000001" customHeight="1" x14ac:dyDescent="0.2">
      <c r="B43" s="17"/>
      <c r="C43" s="32" t="s">
        <v>347</v>
      </c>
      <c r="D43" s="32" t="s">
        <v>552</v>
      </c>
      <c r="E43" s="19"/>
    </row>
    <row r="44" spans="2:5" ht="18.600000000000001" customHeight="1" x14ac:dyDescent="0.2">
      <c r="B44" s="17"/>
      <c r="C44" s="32" t="s">
        <v>348</v>
      </c>
      <c r="D44" s="32" t="s">
        <v>552</v>
      </c>
      <c r="E44" s="19"/>
    </row>
    <row r="45" spans="2:5" ht="18.600000000000001" customHeight="1" x14ac:dyDescent="0.2">
      <c r="B45" s="17"/>
      <c r="C45" s="32" t="s">
        <v>349</v>
      </c>
      <c r="D45" s="32" t="s">
        <v>552</v>
      </c>
      <c r="E45" s="19"/>
    </row>
    <row r="46" spans="2:5" ht="18.600000000000001" customHeight="1" x14ac:dyDescent="0.2">
      <c r="B46" s="17"/>
      <c r="C46" s="32" t="s">
        <v>350</v>
      </c>
      <c r="D46" s="32" t="s">
        <v>552</v>
      </c>
      <c r="E46" s="19"/>
    </row>
    <row r="47" spans="2:5" ht="18.600000000000001" customHeight="1" x14ac:dyDescent="0.2">
      <c r="B47" s="17"/>
      <c r="C47" s="32" t="s">
        <v>351</v>
      </c>
      <c r="D47" s="32" t="s">
        <v>552</v>
      </c>
      <c r="E47" s="19"/>
    </row>
    <row r="48" spans="2:5" ht="18.600000000000001" customHeight="1" x14ac:dyDescent="0.2">
      <c r="B48" s="17"/>
      <c r="C48" s="32" t="s">
        <v>353</v>
      </c>
      <c r="D48" s="32" t="s">
        <v>552</v>
      </c>
      <c r="E48" s="19"/>
    </row>
    <row r="49" spans="2:5" ht="18.600000000000001" customHeight="1" x14ac:dyDescent="0.2">
      <c r="B49" s="17"/>
      <c r="C49" s="32" t="s">
        <v>355</v>
      </c>
      <c r="D49" s="32" t="s">
        <v>552</v>
      </c>
      <c r="E49" s="19"/>
    </row>
    <row r="50" spans="2:5" ht="18.600000000000001" customHeight="1" x14ac:dyDescent="0.2">
      <c r="B50" s="17"/>
      <c r="C50" s="32" t="s">
        <v>356</v>
      </c>
      <c r="D50" s="32" t="s">
        <v>552</v>
      </c>
      <c r="E50" s="19"/>
    </row>
    <row r="51" spans="2:5" ht="18.600000000000001" customHeight="1" x14ac:dyDescent="0.2">
      <c r="B51" s="17"/>
      <c r="C51" s="32" t="s">
        <v>371</v>
      </c>
      <c r="D51" s="32" t="s">
        <v>552</v>
      </c>
      <c r="E51" s="19"/>
    </row>
    <row r="52" spans="2:5" ht="18.600000000000001" customHeight="1" x14ac:dyDescent="0.2">
      <c r="B52" s="17"/>
      <c r="C52" s="32" t="s">
        <v>372</v>
      </c>
      <c r="D52" s="32" t="s">
        <v>552</v>
      </c>
      <c r="E52" s="19"/>
    </row>
    <row r="53" spans="2:5" ht="18.600000000000001" customHeight="1" x14ac:dyDescent="0.2">
      <c r="B53" s="17"/>
      <c r="C53" s="32" t="s">
        <v>373</v>
      </c>
      <c r="D53" s="32" t="s">
        <v>552</v>
      </c>
      <c r="E53" s="19"/>
    </row>
    <row r="54" spans="2:5" ht="18.600000000000001" customHeight="1" x14ac:dyDescent="0.2">
      <c r="B54" s="17"/>
      <c r="C54" s="32" t="s">
        <v>374</v>
      </c>
      <c r="D54" s="32" t="s">
        <v>552</v>
      </c>
      <c r="E54" s="19"/>
    </row>
    <row r="55" spans="2:5" ht="18.600000000000001" customHeight="1" x14ac:dyDescent="0.2">
      <c r="B55" s="17"/>
      <c r="C55" s="32" t="s">
        <v>375</v>
      </c>
      <c r="D55" s="32" t="s">
        <v>552</v>
      </c>
      <c r="E55" s="19"/>
    </row>
    <row r="56" spans="2:5" ht="18.600000000000001" customHeight="1" x14ac:dyDescent="0.2">
      <c r="B56" s="17"/>
      <c r="C56" s="32" t="s">
        <v>376</v>
      </c>
      <c r="D56" s="32" t="s">
        <v>552</v>
      </c>
      <c r="E56" s="19"/>
    </row>
    <row r="57" spans="2:5" ht="18.600000000000001" customHeight="1" x14ac:dyDescent="0.2">
      <c r="B57" s="17"/>
      <c r="C57" s="32" t="s">
        <v>377</v>
      </c>
      <c r="D57" s="32" t="s">
        <v>552</v>
      </c>
      <c r="E57" s="19"/>
    </row>
    <row r="58" spans="2:5" ht="18.600000000000001" customHeight="1" x14ac:dyDescent="0.2">
      <c r="B58" s="17"/>
      <c r="C58" s="32" t="s">
        <v>378</v>
      </c>
      <c r="D58" s="32" t="s">
        <v>213</v>
      </c>
      <c r="E58" s="19"/>
    </row>
    <row r="59" spans="2:5" ht="18.600000000000001" customHeight="1" x14ac:dyDescent="0.2">
      <c r="B59" s="17"/>
      <c r="C59" s="32" t="s">
        <v>379</v>
      </c>
      <c r="D59" s="32" t="s">
        <v>213</v>
      </c>
      <c r="E59" s="19"/>
    </row>
    <row r="60" spans="2:5" ht="18.600000000000001" customHeight="1" x14ac:dyDescent="0.2">
      <c r="B60" s="17"/>
      <c r="C60" s="32" t="s">
        <v>380</v>
      </c>
      <c r="D60" s="32" t="s">
        <v>213</v>
      </c>
      <c r="E60" s="19"/>
    </row>
    <row r="61" spans="2:5" ht="18.600000000000001" customHeight="1" x14ac:dyDescent="0.2">
      <c r="B61" s="17"/>
      <c r="C61" s="32" t="s">
        <v>381</v>
      </c>
      <c r="D61" s="32" t="s">
        <v>213</v>
      </c>
      <c r="E61" s="19"/>
    </row>
    <row r="62" spans="2:5" ht="18.600000000000001" customHeight="1" x14ac:dyDescent="0.2">
      <c r="B62" s="17"/>
      <c r="C62" s="32" t="s">
        <v>382</v>
      </c>
      <c r="D62" s="32" t="s">
        <v>213</v>
      </c>
      <c r="E62" s="19"/>
    </row>
    <row r="63" spans="2:5" ht="18.600000000000001" customHeight="1" x14ac:dyDescent="0.2">
      <c r="B63" s="17"/>
      <c r="C63" s="32" t="s">
        <v>383</v>
      </c>
      <c r="D63" s="32" t="s">
        <v>213</v>
      </c>
      <c r="E63" s="19"/>
    </row>
    <row r="64" spans="2:5" ht="18.600000000000001" customHeight="1" x14ac:dyDescent="0.2">
      <c r="B64" s="17"/>
      <c r="C64" s="32" t="s">
        <v>384</v>
      </c>
      <c r="D64" s="32" t="s">
        <v>213</v>
      </c>
      <c r="E64" s="19"/>
    </row>
    <row r="65" spans="2:5" ht="18.600000000000001" customHeight="1" x14ac:dyDescent="0.2">
      <c r="B65" s="17"/>
      <c r="C65" s="32" t="s">
        <v>385</v>
      </c>
      <c r="D65" s="32" t="s">
        <v>213</v>
      </c>
      <c r="E65" s="19"/>
    </row>
    <row r="66" spans="2:5" ht="18.600000000000001" customHeight="1" x14ac:dyDescent="0.2">
      <c r="B66" s="17"/>
      <c r="C66" s="32" t="s">
        <v>386</v>
      </c>
      <c r="D66" s="32" t="s">
        <v>213</v>
      </c>
      <c r="E66" s="19"/>
    </row>
    <row r="67" spans="2:5" ht="18.600000000000001" customHeight="1" x14ac:dyDescent="0.2">
      <c r="B67" s="17"/>
      <c r="C67" s="32" t="s">
        <v>387</v>
      </c>
      <c r="D67" s="32" t="s">
        <v>213</v>
      </c>
      <c r="E67" s="19"/>
    </row>
    <row r="68" spans="2:5" ht="18.600000000000001" customHeight="1" x14ac:dyDescent="0.2">
      <c r="B68" s="17"/>
      <c r="C68" s="32" t="s">
        <v>388</v>
      </c>
      <c r="D68" s="32" t="s">
        <v>213</v>
      </c>
      <c r="E68" s="19"/>
    </row>
    <row r="69" spans="2:5" ht="18.600000000000001" customHeight="1" x14ac:dyDescent="0.2">
      <c r="B69" s="17"/>
      <c r="C69" s="32" t="s">
        <v>389</v>
      </c>
      <c r="D69" s="32" t="s">
        <v>213</v>
      </c>
      <c r="E69" s="19"/>
    </row>
    <row r="70" spans="2:5" ht="18.600000000000001" customHeight="1" x14ac:dyDescent="0.2">
      <c r="B70" s="17"/>
      <c r="C70" s="32" t="s">
        <v>390</v>
      </c>
      <c r="D70" s="32" t="s">
        <v>213</v>
      </c>
      <c r="E70" s="19"/>
    </row>
    <row r="71" spans="2:5" ht="18.600000000000001" customHeight="1" x14ac:dyDescent="0.2">
      <c r="B71" s="17"/>
      <c r="C71" s="32" t="s">
        <v>391</v>
      </c>
      <c r="D71" s="32" t="s">
        <v>213</v>
      </c>
      <c r="E71" s="19"/>
    </row>
    <row r="72" spans="2:5" ht="18.600000000000001" customHeight="1" x14ac:dyDescent="0.2">
      <c r="B72" s="17"/>
      <c r="C72" s="32" t="s">
        <v>392</v>
      </c>
      <c r="D72" s="32" t="s">
        <v>213</v>
      </c>
      <c r="E72" s="19"/>
    </row>
    <row r="73" spans="2:5" ht="18.600000000000001" customHeight="1" x14ac:dyDescent="0.2">
      <c r="B73" s="17"/>
      <c r="C73" s="32" t="s">
        <v>393</v>
      </c>
      <c r="D73" s="32" t="s">
        <v>213</v>
      </c>
      <c r="E73" s="19"/>
    </row>
    <row r="74" spans="2:5" ht="18.600000000000001" customHeight="1" x14ac:dyDescent="0.2">
      <c r="B74" s="17"/>
      <c r="C74" s="32" t="s">
        <v>394</v>
      </c>
      <c r="D74" s="32" t="s">
        <v>213</v>
      </c>
      <c r="E74" s="19"/>
    </row>
    <row r="75" spans="2:5" ht="18.600000000000001" customHeight="1" x14ac:dyDescent="0.2">
      <c r="B75" s="17"/>
      <c r="C75" s="32" t="s">
        <v>395</v>
      </c>
      <c r="D75" s="32" t="s">
        <v>213</v>
      </c>
      <c r="E75" s="19"/>
    </row>
    <row r="76" spans="2:5" ht="18.600000000000001" customHeight="1" x14ac:dyDescent="0.2">
      <c r="B76" s="17"/>
      <c r="C76" s="32" t="s">
        <v>396</v>
      </c>
      <c r="D76" s="32" t="s">
        <v>213</v>
      </c>
      <c r="E76" s="19"/>
    </row>
    <row r="77" spans="2:5" ht="18.600000000000001" customHeight="1" x14ac:dyDescent="0.2">
      <c r="B77" s="17"/>
      <c r="C77" s="32" t="s">
        <v>397</v>
      </c>
      <c r="D77" s="32" t="s">
        <v>213</v>
      </c>
      <c r="E77" s="19"/>
    </row>
    <row r="78" spans="2:5" ht="18.600000000000001" customHeight="1" x14ac:dyDescent="0.2">
      <c r="B78" s="17"/>
      <c r="C78" s="32" t="s">
        <v>398</v>
      </c>
      <c r="D78" s="32" t="s">
        <v>213</v>
      </c>
      <c r="E78" s="19"/>
    </row>
    <row r="79" spans="2:5" ht="18.600000000000001" customHeight="1" x14ac:dyDescent="0.2">
      <c r="B79" s="17"/>
      <c r="C79" s="32" t="s">
        <v>399</v>
      </c>
      <c r="D79" s="32" t="s">
        <v>213</v>
      </c>
      <c r="E79" s="19"/>
    </row>
    <row r="80" spans="2:5" ht="18.600000000000001" customHeight="1" x14ac:dyDescent="0.2">
      <c r="B80" s="17"/>
      <c r="C80" s="32" t="s">
        <v>400</v>
      </c>
      <c r="D80" s="32" t="s">
        <v>213</v>
      </c>
      <c r="E80" s="19"/>
    </row>
    <row r="81" spans="2:5" ht="18.600000000000001" customHeight="1" x14ac:dyDescent="0.2">
      <c r="B81" s="17"/>
      <c r="C81" s="32" t="s">
        <v>401</v>
      </c>
      <c r="D81" s="32" t="s">
        <v>552</v>
      </c>
      <c r="E81" s="19"/>
    </row>
    <row r="82" spans="2:5" ht="18.600000000000001" customHeight="1" x14ac:dyDescent="0.2">
      <c r="B82" s="17"/>
      <c r="C82" s="32" t="s">
        <v>402</v>
      </c>
      <c r="D82" s="32" t="s">
        <v>552</v>
      </c>
      <c r="E82" s="19"/>
    </row>
    <row r="83" spans="2:5" ht="18.600000000000001" customHeight="1" x14ac:dyDescent="0.2">
      <c r="B83" s="17"/>
      <c r="C83" s="32" t="s">
        <v>403</v>
      </c>
      <c r="D83" s="32" t="s">
        <v>552</v>
      </c>
      <c r="E83" s="19"/>
    </row>
    <row r="84" spans="2:5" ht="18.600000000000001" customHeight="1" x14ac:dyDescent="0.2">
      <c r="B84" s="17"/>
      <c r="C84" s="32" t="s">
        <v>404</v>
      </c>
      <c r="D84" s="32" t="s">
        <v>552</v>
      </c>
      <c r="E84" s="19"/>
    </row>
    <row r="85" spans="2:5" ht="18.600000000000001" customHeight="1" x14ac:dyDescent="0.2">
      <c r="B85" s="17"/>
      <c r="C85" s="32" t="s">
        <v>405</v>
      </c>
      <c r="D85" s="32" t="s">
        <v>552</v>
      </c>
      <c r="E85" s="19"/>
    </row>
    <row r="86" spans="2:5" ht="18.600000000000001" customHeight="1" x14ac:dyDescent="0.2">
      <c r="B86" s="17"/>
      <c r="C86" s="32" t="s">
        <v>406</v>
      </c>
      <c r="D86" s="32" t="s">
        <v>213</v>
      </c>
      <c r="E86" s="19"/>
    </row>
    <row r="87" spans="2:5" ht="18.600000000000001" customHeight="1" x14ac:dyDescent="0.2">
      <c r="B87" s="17"/>
      <c r="C87" s="32" t="s">
        <v>407</v>
      </c>
      <c r="D87" s="32" t="s">
        <v>552</v>
      </c>
      <c r="E87" s="19"/>
    </row>
    <row r="88" spans="2:5" ht="18.600000000000001" customHeight="1" x14ac:dyDescent="0.2">
      <c r="B88" s="17"/>
      <c r="C88" s="32" t="s">
        <v>408</v>
      </c>
      <c r="D88" s="32" t="s">
        <v>552</v>
      </c>
      <c r="E88" s="19"/>
    </row>
    <row r="89" spans="2:5" ht="18.600000000000001" customHeight="1" x14ac:dyDescent="0.2">
      <c r="B89" s="17"/>
      <c r="C89" s="32" t="s">
        <v>409</v>
      </c>
      <c r="D89" s="32" t="s">
        <v>213</v>
      </c>
      <c r="E89" s="19"/>
    </row>
    <row r="90" spans="2:5" ht="18.600000000000001" customHeight="1" x14ac:dyDescent="0.2">
      <c r="B90" s="17"/>
      <c r="C90" s="32" t="s">
        <v>410</v>
      </c>
      <c r="D90" s="32" t="s">
        <v>213</v>
      </c>
      <c r="E90" s="19"/>
    </row>
    <row r="91" spans="2:5" ht="18.600000000000001" customHeight="1" x14ac:dyDescent="0.2">
      <c r="B91" s="17"/>
      <c r="C91" s="32" t="s">
        <v>411</v>
      </c>
      <c r="D91" s="32" t="s">
        <v>213</v>
      </c>
      <c r="E91" s="19"/>
    </row>
    <row r="92" spans="2:5" ht="18.600000000000001" customHeight="1" x14ac:dyDescent="0.2">
      <c r="B92" s="17"/>
      <c r="C92" s="32" t="s">
        <v>412</v>
      </c>
      <c r="D92" s="32" t="s">
        <v>552</v>
      </c>
      <c r="E92" s="19"/>
    </row>
    <row r="93" spans="2:5" ht="18.600000000000001" customHeight="1" x14ac:dyDescent="0.2">
      <c r="B93" s="17"/>
      <c r="C93" s="32" t="s">
        <v>413</v>
      </c>
      <c r="D93" s="32" t="s">
        <v>552</v>
      </c>
      <c r="E93" s="19"/>
    </row>
    <row r="94" spans="2:5" ht="18.600000000000001" customHeight="1" x14ac:dyDescent="0.2">
      <c r="B94" s="17"/>
      <c r="C94" s="32" t="s">
        <v>414</v>
      </c>
      <c r="D94" s="32" t="s">
        <v>552</v>
      </c>
      <c r="E94" s="19"/>
    </row>
    <row r="95" spans="2:5" ht="18.600000000000001" customHeight="1" x14ac:dyDescent="0.2">
      <c r="B95" s="17"/>
      <c r="C95" s="32" t="s">
        <v>415</v>
      </c>
      <c r="D95" s="32" t="s">
        <v>552</v>
      </c>
      <c r="E95" s="19"/>
    </row>
    <row r="96" spans="2:5" ht="18.600000000000001" customHeight="1" x14ac:dyDescent="0.2">
      <c r="B96" s="17"/>
      <c r="C96" s="32" t="s">
        <v>416</v>
      </c>
      <c r="D96" s="32" t="s">
        <v>552</v>
      </c>
      <c r="E96" s="19"/>
    </row>
    <row r="97" spans="2:5" ht="18.600000000000001" customHeight="1" x14ac:dyDescent="0.2">
      <c r="B97" s="17"/>
      <c r="C97" s="32" t="s">
        <v>417</v>
      </c>
      <c r="D97" s="32" t="s">
        <v>552</v>
      </c>
      <c r="E97" s="19"/>
    </row>
    <row r="98" spans="2:5" ht="18.600000000000001" customHeight="1" x14ac:dyDescent="0.2">
      <c r="B98" s="17"/>
      <c r="C98" s="32" t="s">
        <v>418</v>
      </c>
      <c r="D98" s="32" t="s">
        <v>552</v>
      </c>
      <c r="E98" s="19"/>
    </row>
    <row r="99" spans="2:5" ht="18.600000000000001" customHeight="1" x14ac:dyDescent="0.2">
      <c r="B99" s="17"/>
      <c r="C99" s="32" t="s">
        <v>419</v>
      </c>
      <c r="D99" s="32" t="s">
        <v>552</v>
      </c>
      <c r="E99" s="19"/>
    </row>
    <row r="100" spans="2:5" ht="18.600000000000001" customHeight="1" x14ac:dyDescent="0.2">
      <c r="B100" s="17"/>
      <c r="C100" s="32" t="s">
        <v>420</v>
      </c>
      <c r="D100" s="32" t="s">
        <v>552</v>
      </c>
      <c r="E100" s="19"/>
    </row>
    <row r="101" spans="2:5" ht="18.600000000000001" customHeight="1" x14ac:dyDescent="0.2">
      <c r="B101" s="17"/>
      <c r="C101" s="32" t="s">
        <v>421</v>
      </c>
      <c r="D101" s="32" t="s">
        <v>552</v>
      </c>
      <c r="E101" s="19"/>
    </row>
    <row r="102" spans="2:5" ht="18.600000000000001" customHeight="1" x14ac:dyDescent="0.2">
      <c r="B102" s="17"/>
      <c r="C102" s="32" t="s">
        <v>422</v>
      </c>
      <c r="D102" s="32" t="s">
        <v>552</v>
      </c>
      <c r="E102" s="19"/>
    </row>
    <row r="103" spans="2:5" ht="18.600000000000001" customHeight="1" x14ac:dyDescent="0.2">
      <c r="B103" s="17"/>
      <c r="C103" s="32" t="s">
        <v>423</v>
      </c>
      <c r="D103" s="32" t="s">
        <v>552</v>
      </c>
      <c r="E103" s="19"/>
    </row>
    <row r="104" spans="2:5" ht="18.600000000000001" customHeight="1" x14ac:dyDescent="0.2">
      <c r="B104" s="17"/>
      <c r="C104" s="32" t="s">
        <v>424</v>
      </c>
      <c r="D104" s="32" t="s">
        <v>552</v>
      </c>
      <c r="E104" s="19"/>
    </row>
    <row r="105" spans="2:5" ht="18.600000000000001" customHeight="1" x14ac:dyDescent="0.2">
      <c r="B105" s="17"/>
      <c r="C105" s="32" t="s">
        <v>425</v>
      </c>
      <c r="D105" s="32" t="s">
        <v>552</v>
      </c>
      <c r="E105" s="19"/>
    </row>
    <row r="106" spans="2:5" ht="18.600000000000001" customHeight="1" x14ac:dyDescent="0.2">
      <c r="B106" s="17"/>
      <c r="C106" s="32" t="s">
        <v>426</v>
      </c>
      <c r="D106" s="32" t="s">
        <v>552</v>
      </c>
      <c r="E106" s="19"/>
    </row>
    <row r="107" spans="2:5" ht="18.600000000000001" customHeight="1" x14ac:dyDescent="0.2">
      <c r="B107" s="17"/>
      <c r="C107" s="32" t="s">
        <v>427</v>
      </c>
      <c r="D107" s="32" t="s">
        <v>552</v>
      </c>
      <c r="E107" s="19"/>
    </row>
    <row r="108" spans="2:5" ht="18.600000000000001" customHeight="1" x14ac:dyDescent="0.2">
      <c r="B108" s="17"/>
      <c r="C108" s="32" t="s">
        <v>428</v>
      </c>
      <c r="D108" s="32" t="s">
        <v>552</v>
      </c>
      <c r="E108" s="19"/>
    </row>
    <row r="109" spans="2:5" ht="18.600000000000001" customHeight="1" x14ac:dyDescent="0.2">
      <c r="B109" s="17"/>
      <c r="C109" s="32" t="s">
        <v>429</v>
      </c>
      <c r="D109" s="32" t="s">
        <v>552</v>
      </c>
      <c r="E109" s="19"/>
    </row>
    <row r="110" spans="2:5" ht="18.600000000000001" customHeight="1" x14ac:dyDescent="0.2">
      <c r="B110" s="17"/>
      <c r="C110" s="32" t="s">
        <v>430</v>
      </c>
      <c r="D110" s="32" t="s">
        <v>552</v>
      </c>
      <c r="E110" s="19"/>
    </row>
    <row r="111" spans="2:5" ht="18.600000000000001" customHeight="1" x14ac:dyDescent="0.2">
      <c r="B111" s="17"/>
      <c r="C111" s="32" t="s">
        <v>431</v>
      </c>
      <c r="D111" s="32" t="s">
        <v>552</v>
      </c>
      <c r="E111" s="19"/>
    </row>
    <row r="112" spans="2:5" ht="18.600000000000001" customHeight="1" x14ac:dyDescent="0.2">
      <c r="B112" s="17"/>
      <c r="C112" s="32" t="s">
        <v>432</v>
      </c>
      <c r="D112" s="32" t="s">
        <v>552</v>
      </c>
      <c r="E112" s="19"/>
    </row>
    <row r="113" spans="2:5" ht="18.600000000000001" customHeight="1" x14ac:dyDescent="0.2">
      <c r="B113" s="17"/>
      <c r="C113" s="32" t="s">
        <v>433</v>
      </c>
      <c r="D113" s="32" t="s">
        <v>552</v>
      </c>
      <c r="E113" s="19"/>
    </row>
    <row r="114" spans="2:5" ht="18.600000000000001" customHeight="1" x14ac:dyDescent="0.2">
      <c r="B114" s="17"/>
      <c r="C114" s="32" t="s">
        <v>434</v>
      </c>
      <c r="D114" s="32" t="s">
        <v>213</v>
      </c>
      <c r="E114" s="19"/>
    </row>
    <row r="115" spans="2:5" ht="18.600000000000001" customHeight="1" x14ac:dyDescent="0.2">
      <c r="B115" s="17"/>
      <c r="C115" s="32" t="s">
        <v>435</v>
      </c>
      <c r="D115" s="32" t="s">
        <v>552</v>
      </c>
      <c r="E115" s="19"/>
    </row>
    <row r="116" spans="2:5" ht="18.600000000000001" customHeight="1" x14ac:dyDescent="0.2">
      <c r="B116" s="17"/>
      <c r="C116" s="32" t="s">
        <v>436</v>
      </c>
      <c r="D116" s="32" t="s">
        <v>552</v>
      </c>
      <c r="E116" s="19"/>
    </row>
    <row r="117" spans="2:5" ht="18.600000000000001" customHeight="1" x14ac:dyDescent="0.2">
      <c r="B117" s="17"/>
      <c r="C117" s="32" t="s">
        <v>437</v>
      </c>
      <c r="D117" s="32" t="s">
        <v>552</v>
      </c>
      <c r="E117" s="19"/>
    </row>
    <row r="118" spans="2:5" ht="18.600000000000001" customHeight="1" x14ac:dyDescent="0.2">
      <c r="B118" s="17"/>
      <c r="C118" s="32" t="s">
        <v>438</v>
      </c>
      <c r="D118" s="32" t="s">
        <v>552</v>
      </c>
      <c r="E118" s="19"/>
    </row>
    <row r="119" spans="2:5" ht="18.600000000000001" customHeight="1" x14ac:dyDescent="0.2">
      <c r="B119" s="17"/>
      <c r="C119" s="32" t="s">
        <v>439</v>
      </c>
      <c r="D119" s="32" t="s">
        <v>552</v>
      </c>
      <c r="E119" s="19"/>
    </row>
    <row r="120" spans="2:5" ht="18.600000000000001" customHeight="1" x14ac:dyDescent="0.2">
      <c r="B120" s="17"/>
      <c r="C120" s="32" t="s">
        <v>440</v>
      </c>
      <c r="D120" s="32" t="s">
        <v>552</v>
      </c>
      <c r="E120" s="19"/>
    </row>
    <row r="121" spans="2:5" ht="18.600000000000001" customHeight="1" x14ac:dyDescent="0.2">
      <c r="B121" s="17"/>
      <c r="C121" s="32" t="s">
        <v>441</v>
      </c>
      <c r="D121" s="32" t="s">
        <v>552</v>
      </c>
      <c r="E121" s="19"/>
    </row>
    <row r="122" spans="2:5" ht="18.600000000000001" customHeight="1" x14ac:dyDescent="0.2">
      <c r="B122" s="17"/>
      <c r="C122" s="32" t="s">
        <v>442</v>
      </c>
      <c r="D122" s="32" t="s">
        <v>552</v>
      </c>
      <c r="E122" s="19"/>
    </row>
    <row r="123" spans="2:5" ht="18.600000000000001" customHeight="1" x14ac:dyDescent="0.2">
      <c r="B123" s="17"/>
      <c r="C123" s="32" t="s">
        <v>443</v>
      </c>
      <c r="D123" s="32" t="s">
        <v>552</v>
      </c>
      <c r="E123" s="19"/>
    </row>
    <row r="124" spans="2:5" ht="18.600000000000001" customHeight="1" x14ac:dyDescent="0.2">
      <c r="B124" s="17"/>
      <c r="C124" s="32" t="s">
        <v>444</v>
      </c>
      <c r="D124" s="32" t="s">
        <v>552</v>
      </c>
      <c r="E124" s="19"/>
    </row>
    <row r="125" spans="2:5" ht="18.600000000000001" customHeight="1" x14ac:dyDescent="0.2">
      <c r="B125" s="17"/>
      <c r="C125" s="32" t="s">
        <v>445</v>
      </c>
      <c r="D125" s="32" t="s">
        <v>552</v>
      </c>
      <c r="E125" s="19"/>
    </row>
    <row r="126" spans="2:5" ht="18.600000000000001" customHeight="1" x14ac:dyDescent="0.2">
      <c r="B126" s="17"/>
      <c r="C126" s="32" t="s">
        <v>446</v>
      </c>
      <c r="D126" s="32" t="s">
        <v>552</v>
      </c>
      <c r="E126" s="19"/>
    </row>
    <row r="127" spans="2:5" ht="18.600000000000001" customHeight="1" x14ac:dyDescent="0.2">
      <c r="B127" s="17"/>
      <c r="C127" s="32" t="s">
        <v>447</v>
      </c>
      <c r="D127" s="32" t="s">
        <v>552</v>
      </c>
      <c r="E127" s="19"/>
    </row>
    <row r="128" spans="2:5" ht="18.600000000000001" customHeight="1" x14ac:dyDescent="0.2">
      <c r="B128" s="17"/>
      <c r="C128" s="32" t="s">
        <v>448</v>
      </c>
      <c r="D128" s="32" t="s">
        <v>552</v>
      </c>
      <c r="E128" s="19"/>
    </row>
    <row r="129" spans="2:5" ht="18.600000000000001" customHeight="1" x14ac:dyDescent="0.2">
      <c r="B129" s="17"/>
      <c r="C129" s="32" t="s">
        <v>449</v>
      </c>
      <c r="D129" s="32" t="s">
        <v>552</v>
      </c>
      <c r="E129" s="19"/>
    </row>
    <row r="130" spans="2:5" ht="18.600000000000001" customHeight="1" x14ac:dyDescent="0.2">
      <c r="B130" s="17"/>
      <c r="C130" s="32" t="s">
        <v>450</v>
      </c>
      <c r="D130" s="32" t="s">
        <v>552</v>
      </c>
      <c r="E130" s="19"/>
    </row>
    <row r="131" spans="2:5" ht="18.600000000000001" customHeight="1" x14ac:dyDescent="0.2">
      <c r="B131" s="17"/>
      <c r="C131" s="32" t="s">
        <v>451</v>
      </c>
      <c r="D131" s="32" t="s">
        <v>552</v>
      </c>
      <c r="E131" s="19"/>
    </row>
    <row r="132" spans="2:5" ht="18.600000000000001" customHeight="1" x14ac:dyDescent="0.2">
      <c r="B132" s="17"/>
      <c r="C132" s="32" t="s">
        <v>452</v>
      </c>
      <c r="D132" s="32" t="s">
        <v>552</v>
      </c>
      <c r="E132" s="19"/>
    </row>
    <row r="133" spans="2:5" ht="18.600000000000001" customHeight="1" x14ac:dyDescent="0.2">
      <c r="B133" s="17"/>
      <c r="C133" s="32" t="s">
        <v>453</v>
      </c>
      <c r="D133" s="32" t="s">
        <v>552</v>
      </c>
      <c r="E133" s="19"/>
    </row>
    <row r="134" spans="2:5" ht="18.600000000000001" customHeight="1" x14ac:dyDescent="0.2">
      <c r="B134" s="17"/>
      <c r="C134" s="32" t="s">
        <v>454</v>
      </c>
      <c r="D134" s="32" t="s">
        <v>552</v>
      </c>
      <c r="E134" s="19"/>
    </row>
    <row r="135" spans="2:5" ht="18.600000000000001" customHeight="1" x14ac:dyDescent="0.2">
      <c r="B135" s="17"/>
      <c r="C135" s="32" t="s">
        <v>455</v>
      </c>
      <c r="D135" s="32" t="s">
        <v>552</v>
      </c>
      <c r="E135" s="19"/>
    </row>
    <row r="136" spans="2:5" ht="18.600000000000001" customHeight="1" x14ac:dyDescent="0.2">
      <c r="B136" s="17"/>
      <c r="C136" s="32" t="s">
        <v>456</v>
      </c>
      <c r="D136" s="32" t="s">
        <v>552</v>
      </c>
      <c r="E136" s="19"/>
    </row>
    <row r="137" spans="2:5" ht="18.600000000000001" customHeight="1" x14ac:dyDescent="0.2">
      <c r="B137" s="17"/>
      <c r="C137" s="32" t="s">
        <v>457</v>
      </c>
      <c r="D137" s="32" t="s">
        <v>552</v>
      </c>
      <c r="E137" s="19"/>
    </row>
    <row r="138" spans="2:5" ht="18.600000000000001" customHeight="1" x14ac:dyDescent="0.2">
      <c r="B138" s="17"/>
      <c r="C138" s="32" t="s">
        <v>458</v>
      </c>
      <c r="D138" s="32" t="s">
        <v>552</v>
      </c>
      <c r="E138" s="19"/>
    </row>
    <row r="139" spans="2:5" ht="18.600000000000001" customHeight="1" x14ac:dyDescent="0.2">
      <c r="B139" s="17"/>
      <c r="C139" s="32" t="s">
        <v>459</v>
      </c>
      <c r="D139" s="32" t="s">
        <v>552</v>
      </c>
      <c r="E139" s="19"/>
    </row>
    <row r="140" spans="2:5" ht="18.600000000000001" customHeight="1" x14ac:dyDescent="0.2">
      <c r="B140" s="17"/>
      <c r="C140" s="32" t="s">
        <v>460</v>
      </c>
      <c r="D140" s="32" t="s">
        <v>552</v>
      </c>
      <c r="E140" s="19"/>
    </row>
    <row r="141" spans="2:5" ht="18.600000000000001" customHeight="1" x14ac:dyDescent="0.2">
      <c r="B141" s="17"/>
      <c r="C141" s="32" t="s">
        <v>461</v>
      </c>
      <c r="D141" s="32" t="s">
        <v>552</v>
      </c>
      <c r="E141" s="19"/>
    </row>
    <row r="142" spans="2:5" ht="18.600000000000001" customHeight="1" x14ac:dyDescent="0.2">
      <c r="B142" s="17"/>
      <c r="C142" s="32" t="s">
        <v>462</v>
      </c>
      <c r="D142" s="32" t="s">
        <v>552</v>
      </c>
      <c r="E142" s="19"/>
    </row>
    <row r="143" spans="2:5" ht="18.600000000000001" customHeight="1" x14ac:dyDescent="0.2">
      <c r="B143" s="17"/>
      <c r="C143" s="32" t="s">
        <v>463</v>
      </c>
      <c r="D143" s="32" t="s">
        <v>552</v>
      </c>
      <c r="E143" s="19"/>
    </row>
    <row r="144" spans="2:5" ht="18.600000000000001" customHeight="1" x14ac:dyDescent="0.2">
      <c r="B144" s="17"/>
      <c r="C144" s="32" t="s">
        <v>464</v>
      </c>
      <c r="D144" s="32" t="s">
        <v>552</v>
      </c>
      <c r="E144" s="19"/>
    </row>
    <row r="145" spans="2:5" ht="18.600000000000001" customHeight="1" x14ac:dyDescent="0.2">
      <c r="B145" s="17"/>
      <c r="C145" s="32" t="s">
        <v>465</v>
      </c>
      <c r="D145" s="32" t="s">
        <v>552</v>
      </c>
      <c r="E145" s="19"/>
    </row>
    <row r="146" spans="2:5" ht="18.600000000000001" customHeight="1" x14ac:dyDescent="0.2">
      <c r="B146" s="17"/>
      <c r="C146" s="32" t="s">
        <v>466</v>
      </c>
      <c r="D146" s="32" t="s">
        <v>552</v>
      </c>
      <c r="E146" s="19"/>
    </row>
    <row r="147" spans="2:5" ht="18.600000000000001" customHeight="1" x14ac:dyDescent="0.2">
      <c r="B147" s="17"/>
      <c r="C147" s="32" t="s">
        <v>467</v>
      </c>
      <c r="D147" s="32" t="s">
        <v>552</v>
      </c>
      <c r="E147" s="19"/>
    </row>
    <row r="148" spans="2:5" ht="18.600000000000001" customHeight="1" x14ac:dyDescent="0.2">
      <c r="B148" s="17"/>
      <c r="C148" s="32" t="s">
        <v>468</v>
      </c>
      <c r="D148" s="32" t="s">
        <v>552</v>
      </c>
      <c r="E148" s="19"/>
    </row>
    <row r="149" spans="2:5" ht="18.600000000000001" customHeight="1" x14ac:dyDescent="0.2">
      <c r="B149" s="17"/>
      <c r="C149" s="32" t="s">
        <v>469</v>
      </c>
      <c r="D149" s="32" t="s">
        <v>552</v>
      </c>
      <c r="E149" s="19"/>
    </row>
    <row r="150" spans="2:5" ht="18.600000000000001" customHeight="1" x14ac:dyDescent="0.2">
      <c r="B150" s="17"/>
      <c r="C150" s="32" t="s">
        <v>470</v>
      </c>
      <c r="D150" s="32" t="s">
        <v>552</v>
      </c>
      <c r="E150" s="19"/>
    </row>
    <row r="151" spans="2:5" ht="18.600000000000001" customHeight="1" x14ac:dyDescent="0.2">
      <c r="B151" s="17"/>
      <c r="C151" s="32" t="s">
        <v>471</v>
      </c>
      <c r="D151" s="32" t="s">
        <v>552</v>
      </c>
      <c r="E151" s="19"/>
    </row>
    <row r="152" spans="2:5" ht="18.600000000000001" customHeight="1" x14ac:dyDescent="0.2">
      <c r="B152" s="17"/>
      <c r="C152" s="32" t="s">
        <v>472</v>
      </c>
      <c r="D152" s="32" t="s">
        <v>552</v>
      </c>
      <c r="E152" s="19"/>
    </row>
    <row r="153" spans="2:5" ht="18.600000000000001" customHeight="1" x14ac:dyDescent="0.2">
      <c r="B153" s="17"/>
      <c r="C153" s="32" t="s">
        <v>473</v>
      </c>
      <c r="D153" s="32" t="s">
        <v>552</v>
      </c>
      <c r="E153" s="19"/>
    </row>
    <row r="154" spans="2:5" ht="18.600000000000001" customHeight="1" x14ac:dyDescent="0.2">
      <c r="B154" s="17"/>
      <c r="C154" s="32" t="s">
        <v>474</v>
      </c>
      <c r="D154" s="32" t="s">
        <v>552</v>
      </c>
      <c r="E154" s="19"/>
    </row>
    <row r="155" spans="2:5" ht="18.600000000000001" customHeight="1" x14ac:dyDescent="0.2">
      <c r="B155" s="17"/>
      <c r="C155" s="32" t="s">
        <v>475</v>
      </c>
      <c r="D155" s="32" t="s">
        <v>552</v>
      </c>
      <c r="E155" s="19"/>
    </row>
    <row r="156" spans="2:5" ht="18.600000000000001" customHeight="1" x14ac:dyDescent="0.2">
      <c r="B156" s="17"/>
      <c r="C156" s="32" t="s">
        <v>476</v>
      </c>
      <c r="D156" s="32" t="s">
        <v>213</v>
      </c>
      <c r="E156" s="19"/>
    </row>
    <row r="157" spans="2:5" ht="18.600000000000001" customHeight="1" x14ac:dyDescent="0.2">
      <c r="B157" s="17"/>
      <c r="C157" s="32" t="s">
        <v>477</v>
      </c>
      <c r="D157" s="32" t="s">
        <v>213</v>
      </c>
      <c r="E157" s="19"/>
    </row>
    <row r="158" spans="2:5" ht="18.600000000000001" customHeight="1" x14ac:dyDescent="0.2">
      <c r="B158" s="17"/>
      <c r="C158" s="32" t="s">
        <v>478</v>
      </c>
      <c r="D158" s="32" t="s">
        <v>552</v>
      </c>
      <c r="E158" s="19"/>
    </row>
    <row r="159" spans="2:5" ht="18.600000000000001" customHeight="1" x14ac:dyDescent="0.2">
      <c r="B159" s="17"/>
      <c r="C159" s="32" t="s">
        <v>479</v>
      </c>
      <c r="D159" s="32" t="s">
        <v>213</v>
      </c>
      <c r="E159" s="19"/>
    </row>
    <row r="160" spans="2:5" ht="18.600000000000001" customHeight="1" x14ac:dyDescent="0.2">
      <c r="B160" s="17"/>
      <c r="C160" s="32" t="s">
        <v>480</v>
      </c>
      <c r="D160" s="32" t="s">
        <v>213</v>
      </c>
      <c r="E160" s="19"/>
    </row>
    <row r="161" spans="2:5" ht="18.600000000000001" customHeight="1" x14ac:dyDescent="0.2">
      <c r="B161" s="17"/>
      <c r="C161" s="32" t="s">
        <v>481</v>
      </c>
      <c r="D161" s="32" t="s">
        <v>213</v>
      </c>
      <c r="E161" s="19"/>
    </row>
    <row r="162" spans="2:5" ht="18.600000000000001" customHeight="1" x14ac:dyDescent="0.2">
      <c r="B162" s="17"/>
      <c r="C162" s="32" t="s">
        <v>2111</v>
      </c>
      <c r="D162" s="32" t="s">
        <v>2112</v>
      </c>
      <c r="E162" s="19"/>
    </row>
    <row r="163" spans="2:5" ht="18.600000000000001" customHeight="1" x14ac:dyDescent="0.2">
      <c r="B163" s="17"/>
      <c r="C163" s="32" t="s">
        <v>2113</v>
      </c>
      <c r="D163" s="32" t="s">
        <v>2112</v>
      </c>
      <c r="E163" s="19"/>
    </row>
    <row r="164" spans="2:5" ht="18.600000000000001" customHeight="1" x14ac:dyDescent="0.2">
      <c r="B164" s="17"/>
      <c r="C164" s="32" t="s">
        <v>2114</v>
      </c>
      <c r="D164" s="32" t="s">
        <v>2112</v>
      </c>
      <c r="E164" s="19"/>
    </row>
    <row r="165" spans="2:5" ht="18.600000000000001" customHeight="1" x14ac:dyDescent="0.2">
      <c r="B165" s="17"/>
      <c r="C165" s="32" t="s">
        <v>2115</v>
      </c>
      <c r="D165" s="32" t="s">
        <v>2112</v>
      </c>
      <c r="E165" s="19"/>
    </row>
    <row r="166" spans="2:5" ht="18.600000000000001" customHeight="1" x14ac:dyDescent="0.2">
      <c r="B166" s="17"/>
      <c r="C166" s="32" t="s">
        <v>482</v>
      </c>
      <c r="D166" s="32" t="s">
        <v>552</v>
      </c>
      <c r="E166" s="19"/>
    </row>
    <row r="167" spans="2:5" ht="18.600000000000001" customHeight="1" x14ac:dyDescent="0.2">
      <c r="B167" s="17"/>
      <c r="C167" s="32" t="s">
        <v>484</v>
      </c>
      <c r="D167" s="32" t="s">
        <v>2112</v>
      </c>
      <c r="E167" s="19"/>
    </row>
    <row r="168" spans="2:5" ht="18.600000000000001" customHeight="1" x14ac:dyDescent="0.2">
      <c r="B168" s="17"/>
      <c r="C168" s="32" t="s">
        <v>486</v>
      </c>
      <c r="D168" s="32" t="s">
        <v>2112</v>
      </c>
      <c r="E168" s="19"/>
    </row>
    <row r="169" spans="2:5" ht="18.600000000000001" customHeight="1" x14ac:dyDescent="0.2">
      <c r="B169" s="17"/>
      <c r="C169" s="32" t="s">
        <v>487</v>
      </c>
      <c r="D169" s="32" t="s">
        <v>2112</v>
      </c>
      <c r="E169" s="19"/>
    </row>
    <row r="170" spans="2:5" ht="18.600000000000001" customHeight="1" x14ac:dyDescent="0.2">
      <c r="B170" s="17"/>
      <c r="C170" s="32" t="s">
        <v>489</v>
      </c>
      <c r="D170" s="32" t="s">
        <v>2112</v>
      </c>
      <c r="E170" s="19"/>
    </row>
    <row r="171" spans="2:5" ht="18.600000000000001" customHeight="1" x14ac:dyDescent="0.2">
      <c r="B171" s="17"/>
      <c r="C171" s="32" t="s">
        <v>490</v>
      </c>
      <c r="D171" s="32" t="s">
        <v>2112</v>
      </c>
      <c r="E171" s="19"/>
    </row>
    <row r="172" spans="2:5" ht="18.600000000000001" customHeight="1" x14ac:dyDescent="0.2">
      <c r="B172" s="17"/>
      <c r="C172" s="32" t="s">
        <v>2116</v>
      </c>
      <c r="D172" s="32" t="s">
        <v>2112</v>
      </c>
      <c r="E172" s="19"/>
    </row>
    <row r="173" spans="2:5" ht="18.600000000000001" customHeight="1" x14ac:dyDescent="0.2">
      <c r="B173" s="17"/>
      <c r="C173" s="32" t="s">
        <v>2117</v>
      </c>
      <c r="D173" s="32" t="s">
        <v>2112</v>
      </c>
      <c r="E173" s="19"/>
    </row>
    <row r="174" spans="2:5" ht="18.600000000000001" customHeight="1" x14ac:dyDescent="0.2">
      <c r="B174" s="17"/>
      <c r="C174" s="32" t="s">
        <v>491</v>
      </c>
      <c r="D174" s="32" t="s">
        <v>2112</v>
      </c>
      <c r="E174" s="19"/>
    </row>
    <row r="175" spans="2:5" ht="18.600000000000001" customHeight="1" x14ac:dyDescent="0.2">
      <c r="B175" s="17"/>
      <c r="C175" s="32" t="s">
        <v>492</v>
      </c>
      <c r="D175" s="32" t="s">
        <v>2112</v>
      </c>
      <c r="E175" s="19"/>
    </row>
    <row r="176" spans="2:5" ht="18.600000000000001" customHeight="1" x14ac:dyDescent="0.2">
      <c r="B176" s="17"/>
      <c r="C176" s="32" t="s">
        <v>493</v>
      </c>
      <c r="D176" s="32" t="s">
        <v>2112</v>
      </c>
      <c r="E176" s="19"/>
    </row>
    <row r="177" spans="2:5" ht="18.600000000000001" customHeight="1" x14ac:dyDescent="0.2">
      <c r="B177" s="17"/>
      <c r="C177" s="32" t="s">
        <v>494</v>
      </c>
      <c r="D177" s="32" t="s">
        <v>2112</v>
      </c>
      <c r="E177" s="19"/>
    </row>
    <row r="178" spans="2:5" ht="18.600000000000001" customHeight="1" x14ac:dyDescent="0.2">
      <c r="B178" s="17"/>
      <c r="C178" s="32" t="s">
        <v>495</v>
      </c>
      <c r="D178" s="32" t="s">
        <v>2112</v>
      </c>
      <c r="E178" s="19"/>
    </row>
    <row r="179" spans="2:5" ht="18.600000000000001" customHeight="1" x14ac:dyDescent="0.2">
      <c r="B179" s="17"/>
      <c r="C179" s="32" t="s">
        <v>496</v>
      </c>
      <c r="D179" s="32" t="s">
        <v>2112</v>
      </c>
      <c r="E179" s="19"/>
    </row>
    <row r="180" spans="2:5" ht="18.600000000000001" customHeight="1" x14ac:dyDescent="0.2">
      <c r="B180" s="17"/>
      <c r="C180" s="32" t="s">
        <v>498</v>
      </c>
      <c r="D180" s="32" t="s">
        <v>2112</v>
      </c>
      <c r="E180" s="19"/>
    </row>
    <row r="181" spans="2:5" ht="18.600000000000001" customHeight="1" x14ac:dyDescent="0.2">
      <c r="B181" s="17"/>
      <c r="C181" s="32" t="s">
        <v>499</v>
      </c>
      <c r="D181" s="32" t="s">
        <v>2112</v>
      </c>
      <c r="E181" s="19"/>
    </row>
    <row r="182" spans="2:5" ht="18.600000000000001" customHeight="1" x14ac:dyDescent="0.2">
      <c r="B182" s="17"/>
      <c r="C182" s="32" t="s">
        <v>500</v>
      </c>
      <c r="D182" s="32" t="s">
        <v>2112</v>
      </c>
      <c r="E182" s="19"/>
    </row>
    <row r="183" spans="2:5" ht="18.600000000000001" customHeight="1" x14ac:dyDescent="0.2">
      <c r="B183" s="17"/>
      <c r="C183" s="32" t="s">
        <v>501</v>
      </c>
      <c r="D183" s="32" t="s">
        <v>2112</v>
      </c>
      <c r="E183" s="19"/>
    </row>
    <row r="184" spans="2:5" ht="18.600000000000001" customHeight="1" x14ac:dyDescent="0.2">
      <c r="B184" s="17"/>
      <c r="C184" s="32" t="s">
        <v>503</v>
      </c>
      <c r="D184" s="32" t="s">
        <v>2112</v>
      </c>
      <c r="E184" s="19"/>
    </row>
    <row r="185" spans="2:5" ht="18.600000000000001" customHeight="1" x14ac:dyDescent="0.2">
      <c r="B185" s="17"/>
      <c r="C185" s="32" t="s">
        <v>504</v>
      </c>
      <c r="D185" s="32" t="s">
        <v>2112</v>
      </c>
      <c r="E185" s="19"/>
    </row>
    <row r="186" spans="2:5" ht="18.600000000000001" customHeight="1" x14ac:dyDescent="0.2">
      <c r="B186" s="17"/>
      <c r="C186" s="32" t="s">
        <v>505</v>
      </c>
      <c r="D186" s="32" t="s">
        <v>2112</v>
      </c>
      <c r="E186" s="19"/>
    </row>
    <row r="187" spans="2:5" ht="18.600000000000001" customHeight="1" x14ac:dyDescent="0.2">
      <c r="B187" s="17"/>
      <c r="C187" s="32" t="s">
        <v>506</v>
      </c>
      <c r="D187" s="32" t="s">
        <v>2112</v>
      </c>
      <c r="E187" s="19"/>
    </row>
    <row r="188" spans="2:5" ht="18.600000000000001" customHeight="1" x14ac:dyDescent="0.2">
      <c r="B188" s="17"/>
      <c r="C188" s="32" t="s">
        <v>2118</v>
      </c>
      <c r="D188" s="32" t="s">
        <v>2112</v>
      </c>
      <c r="E188" s="19"/>
    </row>
    <row r="189" spans="2:5" ht="18.600000000000001" customHeight="1" x14ac:dyDescent="0.2">
      <c r="B189" s="17"/>
      <c r="C189" s="32" t="s">
        <v>2119</v>
      </c>
      <c r="D189" s="32" t="s">
        <v>2112</v>
      </c>
      <c r="E189" s="19"/>
    </row>
    <row r="190" spans="2:5" ht="18.600000000000001" customHeight="1" x14ac:dyDescent="0.2">
      <c r="B190" s="17"/>
      <c r="C190" s="32" t="s">
        <v>507</v>
      </c>
      <c r="D190" s="32" t="s">
        <v>2112</v>
      </c>
      <c r="E190" s="19"/>
    </row>
    <row r="191" spans="2:5" ht="18.600000000000001" customHeight="1" x14ac:dyDescent="0.2">
      <c r="B191" s="17"/>
      <c r="C191" s="32" t="s">
        <v>508</v>
      </c>
      <c r="D191" s="32" t="s">
        <v>2112</v>
      </c>
      <c r="E191" s="19"/>
    </row>
    <row r="192" spans="2:5" ht="18.600000000000001" customHeight="1" x14ac:dyDescent="0.2">
      <c r="B192" s="17"/>
      <c r="C192" s="32" t="s">
        <v>2120</v>
      </c>
      <c r="D192" s="32" t="s">
        <v>2112</v>
      </c>
      <c r="E192" s="19"/>
    </row>
    <row r="193" spans="2:5" ht="18.600000000000001" customHeight="1" x14ac:dyDescent="0.2">
      <c r="B193" s="17"/>
      <c r="C193" s="32" t="s">
        <v>2121</v>
      </c>
      <c r="D193" s="32" t="s">
        <v>2112</v>
      </c>
      <c r="E193" s="19"/>
    </row>
    <row r="194" spans="2:5" ht="18.600000000000001" customHeight="1" x14ac:dyDescent="0.2">
      <c r="B194" s="17"/>
      <c r="C194" s="32" t="s">
        <v>509</v>
      </c>
      <c r="D194" s="32" t="s">
        <v>2112</v>
      </c>
      <c r="E194" s="19"/>
    </row>
    <row r="195" spans="2:5" ht="18.600000000000001" customHeight="1" x14ac:dyDescent="0.2">
      <c r="B195" s="17"/>
      <c r="C195" s="32" t="s">
        <v>510</v>
      </c>
      <c r="D195" s="32" t="s">
        <v>552</v>
      </c>
      <c r="E195" s="19"/>
    </row>
    <row r="196" spans="2:5" ht="18.600000000000001" customHeight="1" x14ac:dyDescent="0.2">
      <c r="B196" s="17"/>
      <c r="C196" s="32" t="s">
        <v>511</v>
      </c>
      <c r="D196" s="32" t="s">
        <v>552</v>
      </c>
      <c r="E196" s="19"/>
    </row>
    <row r="197" spans="2:5" ht="18.600000000000001" customHeight="1" x14ac:dyDescent="0.2">
      <c r="B197" s="17"/>
      <c r="C197" s="32" t="s">
        <v>512</v>
      </c>
      <c r="D197" s="32" t="s">
        <v>552</v>
      </c>
      <c r="E197" s="19"/>
    </row>
    <row r="198" spans="2:5" ht="18.600000000000001" customHeight="1" x14ac:dyDescent="0.2">
      <c r="B198" s="17"/>
      <c r="C198" s="32" t="s">
        <v>514</v>
      </c>
      <c r="D198" s="32" t="s">
        <v>552</v>
      </c>
      <c r="E198" s="19"/>
    </row>
    <row r="199" spans="2:5" ht="18.600000000000001" customHeight="1" x14ac:dyDescent="0.2">
      <c r="B199" s="17"/>
      <c r="C199" s="32" t="s">
        <v>516</v>
      </c>
      <c r="D199" s="32" t="s">
        <v>552</v>
      </c>
      <c r="E199" s="19"/>
    </row>
    <row r="200" spans="2:5" ht="18.600000000000001" customHeight="1" x14ac:dyDescent="0.2">
      <c r="B200" s="17"/>
      <c r="C200" s="32" t="s">
        <v>518</v>
      </c>
      <c r="D200" s="32" t="s">
        <v>552</v>
      </c>
      <c r="E200" s="19"/>
    </row>
    <row r="201" spans="2:5" ht="18.600000000000001" customHeight="1" x14ac:dyDescent="0.2">
      <c r="B201" s="17"/>
      <c r="C201" s="32" t="s">
        <v>520</v>
      </c>
      <c r="D201" s="32" t="s">
        <v>552</v>
      </c>
      <c r="E201" s="19"/>
    </row>
    <row r="202" spans="2:5" ht="18.600000000000001" customHeight="1" x14ac:dyDescent="0.2">
      <c r="B202" s="17"/>
      <c r="C202" s="32" t="s">
        <v>522</v>
      </c>
      <c r="D202" s="32" t="s">
        <v>552</v>
      </c>
      <c r="E202" s="19"/>
    </row>
    <row r="203" spans="2:5" ht="18.600000000000001" customHeight="1" x14ac:dyDescent="0.2">
      <c r="B203" s="17"/>
      <c r="C203" s="32" t="s">
        <v>524</v>
      </c>
      <c r="D203" s="32" t="s">
        <v>552</v>
      </c>
      <c r="E203" s="19"/>
    </row>
    <row r="204" spans="2:5" ht="18.600000000000001" customHeight="1" x14ac:dyDescent="0.2">
      <c r="B204" s="17"/>
      <c r="C204" s="32" t="s">
        <v>527</v>
      </c>
      <c r="D204" s="32" t="s">
        <v>552</v>
      </c>
      <c r="E204" s="19"/>
    </row>
    <row r="205" spans="2:5" ht="18.600000000000001" customHeight="1" x14ac:dyDescent="0.2">
      <c r="B205" s="17"/>
      <c r="C205" s="32" t="s">
        <v>528</v>
      </c>
      <c r="D205" s="32" t="s">
        <v>552</v>
      </c>
      <c r="E205" s="19"/>
    </row>
    <row r="206" spans="2:5" ht="18.600000000000001" customHeight="1" x14ac:dyDescent="0.2">
      <c r="B206" s="17"/>
      <c r="C206" s="32" t="s">
        <v>529</v>
      </c>
      <c r="D206" s="32" t="s">
        <v>552</v>
      </c>
      <c r="E206" s="19"/>
    </row>
    <row r="207" spans="2:5" ht="18.600000000000001" customHeight="1" x14ac:dyDescent="0.2">
      <c r="B207" s="17"/>
      <c r="C207" s="32" t="s">
        <v>530</v>
      </c>
      <c r="D207" s="32" t="s">
        <v>552</v>
      </c>
      <c r="E207" s="19"/>
    </row>
    <row r="208" spans="2:5" ht="18.600000000000001" customHeight="1" x14ac:dyDescent="0.2">
      <c r="B208" s="17"/>
      <c r="C208" s="32" t="s">
        <v>531</v>
      </c>
      <c r="D208" s="32" t="s">
        <v>552</v>
      </c>
      <c r="E208" s="19"/>
    </row>
    <row r="209" spans="2:5" ht="18.600000000000001" customHeight="1" x14ac:dyDescent="0.2">
      <c r="B209" s="17"/>
      <c r="C209" s="32" t="s">
        <v>532</v>
      </c>
      <c r="D209" s="32" t="s">
        <v>552</v>
      </c>
      <c r="E209" s="19"/>
    </row>
    <row r="210" spans="2:5" ht="18.600000000000001" customHeight="1" x14ac:dyDescent="0.2">
      <c r="B210" s="17"/>
      <c r="C210" s="32" t="s">
        <v>533</v>
      </c>
      <c r="D210" s="32" t="s">
        <v>552</v>
      </c>
      <c r="E210" s="19"/>
    </row>
    <row r="211" spans="2:5" ht="18.600000000000001" customHeight="1" x14ac:dyDescent="0.2">
      <c r="B211" s="17"/>
      <c r="C211" s="32" t="s">
        <v>534</v>
      </c>
      <c r="D211" s="32" t="s">
        <v>552</v>
      </c>
      <c r="E211" s="19"/>
    </row>
    <row r="212" spans="2:5" ht="18.600000000000001" customHeight="1" x14ac:dyDescent="0.2">
      <c r="B212" s="17"/>
      <c r="C212" s="32" t="s">
        <v>535</v>
      </c>
      <c r="D212" s="32" t="s">
        <v>552</v>
      </c>
      <c r="E212" s="19"/>
    </row>
    <row r="213" spans="2:5" ht="18.600000000000001" customHeight="1" x14ac:dyDescent="0.2">
      <c r="B213" s="17"/>
      <c r="C213" s="32" t="s">
        <v>536</v>
      </c>
      <c r="D213" s="32" t="s">
        <v>552</v>
      </c>
      <c r="E213" s="19"/>
    </row>
    <row r="214" spans="2:5" ht="18.600000000000001" customHeight="1" x14ac:dyDescent="0.2">
      <c r="B214" s="17"/>
      <c r="C214" s="32" t="s">
        <v>537</v>
      </c>
      <c r="D214" s="32" t="s">
        <v>552</v>
      </c>
      <c r="E214" s="19"/>
    </row>
    <row r="215" spans="2:5" ht="18.600000000000001" customHeight="1" x14ac:dyDescent="0.2">
      <c r="B215" s="17"/>
      <c r="C215" s="32" t="s">
        <v>538</v>
      </c>
      <c r="D215" s="32" t="s">
        <v>539</v>
      </c>
      <c r="E215" s="19"/>
    </row>
    <row r="216" spans="2:5" ht="18.600000000000001" customHeight="1" x14ac:dyDescent="0.2">
      <c r="B216" s="17"/>
      <c r="C216" s="32" t="s">
        <v>540</v>
      </c>
      <c r="D216" s="32" t="s">
        <v>552</v>
      </c>
      <c r="E216" s="19"/>
    </row>
    <row r="217" spans="2:5" ht="18.600000000000001" customHeight="1" x14ac:dyDescent="0.2">
      <c r="B217" s="17"/>
      <c r="C217" s="32" t="s">
        <v>541</v>
      </c>
      <c r="D217" s="32" t="s">
        <v>542</v>
      </c>
      <c r="E217" s="19"/>
    </row>
    <row r="218" spans="2:5" ht="18.600000000000001" customHeight="1" x14ac:dyDescent="0.2">
      <c r="B218" s="17"/>
      <c r="C218" s="32" t="s">
        <v>543</v>
      </c>
      <c r="D218" s="32" t="s">
        <v>539</v>
      </c>
      <c r="E218" s="19"/>
    </row>
    <row r="219" spans="2:5" ht="18.600000000000001" customHeight="1" x14ac:dyDescent="0.2">
      <c r="B219" s="17"/>
      <c r="C219" s="32" t="s">
        <v>544</v>
      </c>
      <c r="D219" s="32" t="s">
        <v>539</v>
      </c>
      <c r="E219" s="19"/>
    </row>
    <row r="220" spans="2:5" ht="18.600000000000001" customHeight="1" x14ac:dyDescent="0.2">
      <c r="B220" s="17"/>
      <c r="C220" s="32" t="s">
        <v>545</v>
      </c>
      <c r="D220" s="32" t="s">
        <v>539</v>
      </c>
      <c r="E220" s="19"/>
    </row>
    <row r="221" spans="2:5" ht="18.600000000000001" customHeight="1" x14ac:dyDescent="0.2">
      <c r="B221" s="17"/>
      <c r="C221" s="32" t="s">
        <v>546</v>
      </c>
      <c r="D221" s="32" t="s">
        <v>539</v>
      </c>
      <c r="E221" s="19"/>
    </row>
    <row r="222" spans="2:5" ht="18.600000000000001" customHeight="1" x14ac:dyDescent="0.2">
      <c r="B222" s="17"/>
      <c r="C222" s="32" t="s">
        <v>547</v>
      </c>
      <c r="D222" s="32" t="s">
        <v>539</v>
      </c>
      <c r="E222" s="19"/>
    </row>
    <row r="223" spans="2:5" ht="18.600000000000001" customHeight="1" x14ac:dyDescent="0.2">
      <c r="B223" s="17"/>
      <c r="C223" s="32" t="s">
        <v>548</v>
      </c>
      <c r="D223" s="32" t="s">
        <v>539</v>
      </c>
      <c r="E223" s="19"/>
    </row>
    <row r="224" spans="2:5" ht="18.600000000000001" customHeight="1" x14ac:dyDescent="0.2">
      <c r="B224" s="17"/>
      <c r="C224" s="32" t="s">
        <v>549</v>
      </c>
      <c r="D224" s="32" t="s">
        <v>539</v>
      </c>
      <c r="E224" s="19"/>
    </row>
    <row r="225" spans="2:5" ht="18.600000000000001" customHeight="1" x14ac:dyDescent="0.2">
      <c r="B225" s="17"/>
      <c r="C225" s="32" t="s">
        <v>550</v>
      </c>
      <c r="D225" s="32" t="s">
        <v>539</v>
      </c>
      <c r="E225" s="19"/>
    </row>
    <row r="226" spans="2:5" ht="18.600000000000001" customHeight="1" x14ac:dyDescent="0.2">
      <c r="B226" s="17"/>
      <c r="C226" s="32" t="s">
        <v>551</v>
      </c>
      <c r="D226" s="32" t="s">
        <v>539</v>
      </c>
      <c r="E226" s="19"/>
    </row>
    <row r="227" spans="2:5" ht="18.600000000000001" customHeight="1" collapsed="1" x14ac:dyDescent="0.2">
      <c r="B227" s="20" t="s">
        <v>602</v>
      </c>
      <c r="C227" s="32" t="s">
        <v>307</v>
      </c>
      <c r="D227" s="17" t="s">
        <v>213</v>
      </c>
      <c r="E227" s="19">
        <v>1</v>
      </c>
    </row>
    <row r="228" spans="2:5" ht="18.600000000000001" hidden="1" customHeight="1" outlineLevel="1" x14ac:dyDescent="0.2">
      <c r="B228" s="28" t="s">
        <v>602</v>
      </c>
      <c r="C228" s="32" t="s">
        <v>308</v>
      </c>
      <c r="D228" s="27"/>
      <c r="E228" s="19">
        <v>2</v>
      </c>
    </row>
    <row r="229" spans="2:5" ht="18.600000000000001" hidden="1" customHeight="1" outlineLevel="1" x14ac:dyDescent="0.2">
      <c r="B229" s="28" t="s">
        <v>602</v>
      </c>
      <c r="C229" s="32" t="s">
        <v>378</v>
      </c>
      <c r="D229" s="27"/>
      <c r="E229" s="19">
        <v>3</v>
      </c>
    </row>
    <row r="230" spans="2:5" ht="18.600000000000001" hidden="1" customHeight="1" outlineLevel="1" x14ac:dyDescent="0.2">
      <c r="B230" s="28" t="s">
        <v>602</v>
      </c>
      <c r="C230" s="32" t="s">
        <v>379</v>
      </c>
      <c r="D230" s="27"/>
      <c r="E230" s="19">
        <v>4</v>
      </c>
    </row>
    <row r="231" spans="2:5" ht="18.600000000000001" hidden="1" customHeight="1" outlineLevel="1" x14ac:dyDescent="0.2">
      <c r="B231" s="28" t="s">
        <v>602</v>
      </c>
      <c r="C231" s="32" t="s">
        <v>380</v>
      </c>
      <c r="D231" s="27"/>
      <c r="E231" s="19">
        <v>5</v>
      </c>
    </row>
    <row r="232" spans="2:5" ht="18.600000000000001" hidden="1" customHeight="1" outlineLevel="1" x14ac:dyDescent="0.2">
      <c r="B232" s="28" t="s">
        <v>602</v>
      </c>
      <c r="C232" s="32" t="s">
        <v>381</v>
      </c>
      <c r="D232" s="27"/>
      <c r="E232" s="19">
        <v>6</v>
      </c>
    </row>
    <row r="233" spans="2:5" ht="18.600000000000001" hidden="1" customHeight="1" outlineLevel="1" x14ac:dyDescent="0.2">
      <c r="B233" s="28" t="s">
        <v>602</v>
      </c>
      <c r="C233" s="32" t="s">
        <v>382</v>
      </c>
      <c r="D233" s="27"/>
      <c r="E233" s="19">
        <v>7</v>
      </c>
    </row>
    <row r="234" spans="2:5" ht="18.600000000000001" hidden="1" customHeight="1" outlineLevel="1" x14ac:dyDescent="0.2">
      <c r="B234" s="28" t="s">
        <v>602</v>
      </c>
      <c r="C234" s="32" t="s">
        <v>383</v>
      </c>
      <c r="D234" s="27"/>
      <c r="E234" s="19">
        <v>8</v>
      </c>
    </row>
    <row r="235" spans="2:5" ht="18.600000000000001" hidden="1" customHeight="1" outlineLevel="1" x14ac:dyDescent="0.2">
      <c r="B235" s="28" t="s">
        <v>602</v>
      </c>
      <c r="C235" s="32" t="s">
        <v>384</v>
      </c>
      <c r="D235" s="27"/>
      <c r="E235" s="19">
        <v>9</v>
      </c>
    </row>
    <row r="236" spans="2:5" ht="18.600000000000001" hidden="1" customHeight="1" outlineLevel="1" x14ac:dyDescent="0.2">
      <c r="B236" s="28" t="s">
        <v>602</v>
      </c>
      <c r="C236" s="32" t="s">
        <v>385</v>
      </c>
      <c r="D236" s="27"/>
      <c r="E236" s="19">
        <v>10</v>
      </c>
    </row>
    <row r="237" spans="2:5" ht="18.600000000000001" hidden="1" customHeight="1" outlineLevel="1" x14ac:dyDescent="0.2">
      <c r="B237" s="28" t="s">
        <v>602</v>
      </c>
      <c r="C237" s="32" t="s">
        <v>386</v>
      </c>
      <c r="D237" s="27"/>
      <c r="E237" s="19">
        <v>11</v>
      </c>
    </row>
    <row r="238" spans="2:5" ht="18.600000000000001" hidden="1" customHeight="1" outlineLevel="1" x14ac:dyDescent="0.2">
      <c r="B238" s="28" t="s">
        <v>602</v>
      </c>
      <c r="C238" s="32" t="s">
        <v>387</v>
      </c>
      <c r="D238" s="27"/>
      <c r="E238" s="19">
        <v>12</v>
      </c>
    </row>
    <row r="239" spans="2:5" ht="18.600000000000001" hidden="1" customHeight="1" outlineLevel="1" x14ac:dyDescent="0.2">
      <c r="B239" s="28" t="s">
        <v>602</v>
      </c>
      <c r="C239" s="32" t="s">
        <v>388</v>
      </c>
      <c r="D239" s="27"/>
      <c r="E239" s="19">
        <v>13</v>
      </c>
    </row>
    <row r="240" spans="2:5" ht="18.600000000000001" hidden="1" customHeight="1" outlineLevel="1" x14ac:dyDescent="0.2">
      <c r="B240" s="28" t="s">
        <v>602</v>
      </c>
      <c r="C240" s="32" t="s">
        <v>389</v>
      </c>
      <c r="D240" s="27"/>
      <c r="E240" s="19">
        <v>14</v>
      </c>
    </row>
    <row r="241" spans="2:5" ht="18.600000000000001" hidden="1" customHeight="1" outlineLevel="1" x14ac:dyDescent="0.2">
      <c r="B241" s="28" t="s">
        <v>602</v>
      </c>
      <c r="C241" s="32" t="s">
        <v>390</v>
      </c>
      <c r="D241" s="27"/>
      <c r="E241" s="19">
        <v>15</v>
      </c>
    </row>
    <row r="242" spans="2:5" ht="18.600000000000001" hidden="1" customHeight="1" outlineLevel="1" x14ac:dyDescent="0.2">
      <c r="B242" s="28" t="s">
        <v>602</v>
      </c>
      <c r="C242" s="32" t="s">
        <v>391</v>
      </c>
      <c r="D242" s="27"/>
      <c r="E242" s="19">
        <v>16</v>
      </c>
    </row>
    <row r="243" spans="2:5" ht="18.600000000000001" hidden="1" customHeight="1" outlineLevel="1" x14ac:dyDescent="0.2">
      <c r="B243" s="28" t="s">
        <v>602</v>
      </c>
      <c r="C243" s="32" t="s">
        <v>392</v>
      </c>
      <c r="D243" s="27"/>
      <c r="E243" s="19">
        <v>17</v>
      </c>
    </row>
    <row r="244" spans="2:5" ht="18.600000000000001" hidden="1" customHeight="1" outlineLevel="1" x14ac:dyDescent="0.2">
      <c r="B244" s="28" t="s">
        <v>602</v>
      </c>
      <c r="C244" s="32" t="s">
        <v>393</v>
      </c>
      <c r="D244" s="27"/>
      <c r="E244" s="19">
        <v>18</v>
      </c>
    </row>
    <row r="245" spans="2:5" ht="18.600000000000001" hidden="1" customHeight="1" outlineLevel="1" x14ac:dyDescent="0.2">
      <c r="B245" s="28" t="s">
        <v>602</v>
      </c>
      <c r="C245" s="32" t="s">
        <v>394</v>
      </c>
      <c r="D245" s="27"/>
      <c r="E245" s="19">
        <v>19</v>
      </c>
    </row>
    <row r="246" spans="2:5" ht="18.600000000000001" hidden="1" customHeight="1" outlineLevel="1" x14ac:dyDescent="0.2">
      <c r="B246" s="28" t="s">
        <v>602</v>
      </c>
      <c r="C246" s="32" t="s">
        <v>395</v>
      </c>
      <c r="D246" s="27"/>
      <c r="E246" s="19">
        <v>20</v>
      </c>
    </row>
    <row r="247" spans="2:5" ht="18.600000000000001" hidden="1" customHeight="1" outlineLevel="1" x14ac:dyDescent="0.2">
      <c r="B247" s="28" t="s">
        <v>602</v>
      </c>
      <c r="C247" s="32" t="s">
        <v>396</v>
      </c>
      <c r="D247" s="27"/>
      <c r="E247" s="19">
        <v>21</v>
      </c>
    </row>
    <row r="248" spans="2:5" ht="18.600000000000001" hidden="1" customHeight="1" outlineLevel="1" x14ac:dyDescent="0.2">
      <c r="B248" s="28" t="s">
        <v>602</v>
      </c>
      <c r="C248" s="32" t="s">
        <v>397</v>
      </c>
      <c r="D248" s="27"/>
      <c r="E248" s="19">
        <v>22</v>
      </c>
    </row>
    <row r="249" spans="2:5" ht="18.600000000000001" hidden="1" customHeight="1" outlineLevel="1" x14ac:dyDescent="0.2">
      <c r="B249" s="28" t="s">
        <v>602</v>
      </c>
      <c r="C249" s="32" t="s">
        <v>398</v>
      </c>
      <c r="D249" s="27"/>
      <c r="E249" s="19">
        <v>23</v>
      </c>
    </row>
    <row r="250" spans="2:5" ht="18.600000000000001" hidden="1" customHeight="1" outlineLevel="1" x14ac:dyDescent="0.2">
      <c r="B250" s="28" t="s">
        <v>602</v>
      </c>
      <c r="C250" s="32" t="s">
        <v>399</v>
      </c>
      <c r="D250" s="27"/>
      <c r="E250" s="19">
        <v>24</v>
      </c>
    </row>
    <row r="251" spans="2:5" ht="18.600000000000001" hidden="1" customHeight="1" outlineLevel="1" x14ac:dyDescent="0.2">
      <c r="B251" s="28" t="s">
        <v>602</v>
      </c>
      <c r="C251" s="32" t="s">
        <v>400</v>
      </c>
      <c r="D251" s="27"/>
      <c r="E251" s="19">
        <v>25</v>
      </c>
    </row>
    <row r="252" spans="2:5" ht="18.600000000000001" hidden="1" customHeight="1" outlineLevel="1" x14ac:dyDescent="0.2">
      <c r="B252" s="28" t="s">
        <v>602</v>
      </c>
      <c r="C252" s="32" t="s">
        <v>406</v>
      </c>
      <c r="D252" s="27"/>
      <c r="E252" s="19">
        <v>26</v>
      </c>
    </row>
    <row r="253" spans="2:5" ht="18.600000000000001" hidden="1" customHeight="1" outlineLevel="1" x14ac:dyDescent="0.2">
      <c r="B253" s="28" t="s">
        <v>602</v>
      </c>
      <c r="C253" s="32" t="s">
        <v>409</v>
      </c>
      <c r="D253" s="27"/>
      <c r="E253" s="19">
        <v>27</v>
      </c>
    </row>
    <row r="254" spans="2:5" ht="18.600000000000001" hidden="1" customHeight="1" outlineLevel="1" x14ac:dyDescent="0.2">
      <c r="B254" s="28" t="s">
        <v>602</v>
      </c>
      <c r="C254" s="32" t="s">
        <v>410</v>
      </c>
      <c r="D254" s="27"/>
      <c r="E254" s="19">
        <v>28</v>
      </c>
    </row>
    <row r="255" spans="2:5" ht="18.600000000000001" hidden="1" customHeight="1" outlineLevel="1" x14ac:dyDescent="0.2">
      <c r="B255" s="28" t="s">
        <v>602</v>
      </c>
      <c r="C255" s="32" t="s">
        <v>411</v>
      </c>
      <c r="D255" s="27"/>
      <c r="E255" s="19">
        <v>29</v>
      </c>
    </row>
    <row r="256" spans="2:5" ht="18.600000000000001" hidden="1" customHeight="1" outlineLevel="1" x14ac:dyDescent="0.2">
      <c r="B256" s="28" t="s">
        <v>602</v>
      </c>
      <c r="C256" s="32" t="s">
        <v>434</v>
      </c>
      <c r="D256" s="27"/>
      <c r="E256" s="19">
        <v>30</v>
      </c>
    </row>
    <row r="257" spans="2:5" ht="18.600000000000001" hidden="1" customHeight="1" outlineLevel="1" x14ac:dyDescent="0.2">
      <c r="B257" s="28" t="s">
        <v>602</v>
      </c>
      <c r="C257" s="32" t="s">
        <v>476</v>
      </c>
      <c r="D257" s="27"/>
      <c r="E257" s="19">
        <v>31</v>
      </c>
    </row>
    <row r="258" spans="2:5" ht="18.600000000000001" hidden="1" customHeight="1" outlineLevel="1" x14ac:dyDescent="0.2">
      <c r="B258" s="28" t="s">
        <v>602</v>
      </c>
      <c r="C258" s="32" t="s">
        <v>477</v>
      </c>
      <c r="D258" s="27"/>
      <c r="E258" s="19">
        <v>32</v>
      </c>
    </row>
    <row r="259" spans="2:5" ht="18.600000000000001" hidden="1" customHeight="1" outlineLevel="1" x14ac:dyDescent="0.2">
      <c r="B259" s="28" t="s">
        <v>602</v>
      </c>
      <c r="C259" s="32" t="s">
        <v>479</v>
      </c>
      <c r="D259" s="27"/>
      <c r="E259" s="19">
        <v>33</v>
      </c>
    </row>
    <row r="260" spans="2:5" ht="18.600000000000001" hidden="1" customHeight="1" outlineLevel="1" x14ac:dyDescent="0.2">
      <c r="B260" s="28" t="s">
        <v>602</v>
      </c>
      <c r="C260" s="32" t="s">
        <v>480</v>
      </c>
      <c r="D260" s="27"/>
      <c r="E260" s="19">
        <v>34</v>
      </c>
    </row>
    <row r="261" spans="2:5" ht="18.600000000000001" hidden="1" customHeight="1" outlineLevel="1" x14ac:dyDescent="0.2">
      <c r="B261" s="28" t="s">
        <v>602</v>
      </c>
      <c r="C261" s="32" t="s">
        <v>481</v>
      </c>
      <c r="D261" s="27"/>
      <c r="E261" s="19">
        <v>35</v>
      </c>
    </row>
    <row r="262" spans="2:5" ht="18.600000000000001" customHeight="1" collapsed="1" x14ac:dyDescent="0.2">
      <c r="B262" s="20" t="s">
        <v>2122</v>
      </c>
      <c r="C262" s="17" t="s">
        <v>2111</v>
      </c>
      <c r="D262" s="17" t="s">
        <v>2112</v>
      </c>
      <c r="E262" s="19"/>
    </row>
    <row r="263" spans="2:5" ht="18.600000000000001" hidden="1" customHeight="1" outlineLevel="1" x14ac:dyDescent="0.2">
      <c r="B263" s="28" t="s">
        <v>2122</v>
      </c>
      <c r="C263" s="17" t="s">
        <v>484</v>
      </c>
      <c r="D263" s="27"/>
      <c r="E263" s="19"/>
    </row>
    <row r="264" spans="2:5" ht="18.600000000000001" hidden="1" customHeight="1" outlineLevel="1" x14ac:dyDescent="0.2">
      <c r="B264" s="28" t="s">
        <v>2122</v>
      </c>
      <c r="C264" s="17" t="s">
        <v>486</v>
      </c>
      <c r="D264" s="27"/>
      <c r="E264" s="19"/>
    </row>
    <row r="265" spans="2:5" ht="18.600000000000001" hidden="1" customHeight="1" outlineLevel="1" x14ac:dyDescent="0.2">
      <c r="B265" s="28" t="s">
        <v>2122</v>
      </c>
      <c r="C265" s="17" t="s">
        <v>490</v>
      </c>
      <c r="D265" s="27"/>
      <c r="E265" s="19"/>
    </row>
    <row r="266" spans="2:5" ht="18.600000000000001" hidden="1" customHeight="1" outlineLevel="1" x14ac:dyDescent="0.2">
      <c r="B266" s="28" t="s">
        <v>2122</v>
      </c>
      <c r="C266" s="17" t="s">
        <v>2116</v>
      </c>
      <c r="D266" s="27"/>
      <c r="E266" s="19"/>
    </row>
    <row r="267" spans="2:5" ht="18.600000000000001" hidden="1" customHeight="1" outlineLevel="1" x14ac:dyDescent="0.2">
      <c r="B267" s="28" t="s">
        <v>2122</v>
      </c>
      <c r="C267" s="17" t="s">
        <v>495</v>
      </c>
      <c r="D267" s="27"/>
      <c r="E267" s="19"/>
    </row>
    <row r="268" spans="2:5" ht="18.600000000000001" hidden="1" customHeight="1" outlineLevel="1" x14ac:dyDescent="0.2">
      <c r="B268" s="28" t="s">
        <v>2122</v>
      </c>
      <c r="C268" s="17" t="s">
        <v>500</v>
      </c>
      <c r="D268" s="27"/>
      <c r="E268" s="19"/>
    </row>
    <row r="269" spans="2:5" ht="18.600000000000001" hidden="1" customHeight="1" outlineLevel="1" x14ac:dyDescent="0.2">
      <c r="B269" s="28" t="s">
        <v>2122</v>
      </c>
      <c r="C269" s="17" t="s">
        <v>505</v>
      </c>
      <c r="D269" s="27"/>
      <c r="E269" s="19"/>
    </row>
    <row r="270" spans="2:5" ht="18.600000000000001" hidden="1" customHeight="1" outlineLevel="1" x14ac:dyDescent="0.2">
      <c r="B270" s="28" t="s">
        <v>2122</v>
      </c>
      <c r="C270" s="17" t="s">
        <v>506</v>
      </c>
      <c r="D270" s="27"/>
      <c r="E270" s="19"/>
    </row>
    <row r="271" spans="2:5" ht="18.600000000000001" hidden="1" customHeight="1" outlineLevel="1" x14ac:dyDescent="0.2">
      <c r="B271" s="28" t="s">
        <v>2122</v>
      </c>
      <c r="C271" s="17" t="s">
        <v>2118</v>
      </c>
      <c r="D271" s="27"/>
      <c r="E271" s="19"/>
    </row>
    <row r="272" spans="2:5" ht="18.600000000000001" hidden="1" customHeight="1" outlineLevel="1" x14ac:dyDescent="0.2">
      <c r="B272" s="28" t="s">
        <v>2122</v>
      </c>
      <c r="C272" s="17" t="s">
        <v>2120</v>
      </c>
      <c r="D272" s="27"/>
      <c r="E272" s="19"/>
    </row>
    <row r="273" spans="2:5" ht="18.600000000000001" hidden="1" customHeight="1" outlineLevel="1" x14ac:dyDescent="0.2">
      <c r="B273" s="28" t="s">
        <v>2122</v>
      </c>
      <c r="C273" s="17" t="s">
        <v>509</v>
      </c>
      <c r="D273" s="27"/>
      <c r="E273" s="19"/>
    </row>
    <row r="274" spans="2:5" ht="18.600000000000001" customHeight="1" collapsed="1" x14ac:dyDescent="0.2">
      <c r="B274" s="20" t="s">
        <v>2123</v>
      </c>
      <c r="C274" s="17" t="s">
        <v>2113</v>
      </c>
      <c r="D274" s="17" t="s">
        <v>2112</v>
      </c>
      <c r="E274" s="19"/>
    </row>
    <row r="275" spans="2:5" ht="18.600000000000001" hidden="1" customHeight="1" outlineLevel="1" x14ac:dyDescent="0.2">
      <c r="B275" s="28" t="s">
        <v>2123</v>
      </c>
      <c r="C275" s="17" t="s">
        <v>2117</v>
      </c>
      <c r="D275" s="27"/>
      <c r="E275" s="19"/>
    </row>
    <row r="276" spans="2:5" ht="18.600000000000001" hidden="1" customHeight="1" outlineLevel="1" x14ac:dyDescent="0.2">
      <c r="B276" s="28" t="s">
        <v>2123</v>
      </c>
      <c r="C276" s="17" t="s">
        <v>2119</v>
      </c>
      <c r="D276" s="27"/>
      <c r="E276" s="19"/>
    </row>
    <row r="277" spans="2:5" ht="18.600000000000001" hidden="1" customHeight="1" outlineLevel="1" x14ac:dyDescent="0.2">
      <c r="B277" s="28" t="s">
        <v>2123</v>
      </c>
      <c r="C277" s="17" t="s">
        <v>2121</v>
      </c>
      <c r="D277" s="27"/>
      <c r="E277" s="19"/>
    </row>
    <row r="278" spans="2:5" ht="18.600000000000001" customHeight="1" x14ac:dyDescent="0.2">
      <c r="B278" s="20" t="s">
        <v>2124</v>
      </c>
      <c r="C278" s="17" t="s">
        <v>2114</v>
      </c>
      <c r="D278" s="17" t="s">
        <v>2112</v>
      </c>
      <c r="E278" s="19"/>
    </row>
    <row r="279" spans="2:5" ht="18.600000000000001" customHeight="1" x14ac:dyDescent="0.2">
      <c r="B279" s="20" t="s">
        <v>2125</v>
      </c>
      <c r="C279" s="17" t="s">
        <v>2115</v>
      </c>
      <c r="D279" s="17" t="s">
        <v>2112</v>
      </c>
      <c r="E279" s="19"/>
    </row>
    <row r="280" spans="2:5" ht="18.600000000000001" customHeight="1" collapsed="1" x14ac:dyDescent="0.2">
      <c r="B280" s="20" t="s">
        <v>2126</v>
      </c>
      <c r="C280" s="32" t="s">
        <v>307</v>
      </c>
      <c r="D280" s="17" t="s">
        <v>213</v>
      </c>
      <c r="E280" s="19"/>
    </row>
    <row r="281" spans="2:5" ht="18.600000000000001" hidden="1" customHeight="1" outlineLevel="1" x14ac:dyDescent="0.2">
      <c r="B281" s="28" t="s">
        <v>2126</v>
      </c>
      <c r="C281" s="32" t="s">
        <v>308</v>
      </c>
      <c r="D281" s="27"/>
      <c r="E281" s="19"/>
    </row>
    <row r="282" spans="2:5" ht="18.600000000000001" hidden="1" customHeight="1" outlineLevel="1" x14ac:dyDescent="0.2">
      <c r="B282" s="28" t="s">
        <v>2126</v>
      </c>
      <c r="C282" s="32" t="s">
        <v>378</v>
      </c>
      <c r="D282" s="27"/>
      <c r="E282" s="19"/>
    </row>
    <row r="283" spans="2:5" ht="18.600000000000001" hidden="1" customHeight="1" outlineLevel="1" x14ac:dyDescent="0.2">
      <c r="B283" s="28" t="s">
        <v>2126</v>
      </c>
      <c r="C283" s="32" t="s">
        <v>379</v>
      </c>
      <c r="D283" s="27"/>
      <c r="E283" s="19"/>
    </row>
    <row r="284" spans="2:5" ht="18.600000000000001" hidden="1" customHeight="1" outlineLevel="1" x14ac:dyDescent="0.2">
      <c r="B284" s="28" t="s">
        <v>2126</v>
      </c>
      <c r="C284" s="32" t="s">
        <v>380</v>
      </c>
      <c r="D284" s="27"/>
      <c r="E284" s="19"/>
    </row>
    <row r="285" spans="2:5" ht="18.600000000000001" hidden="1" customHeight="1" outlineLevel="1" x14ac:dyDescent="0.2">
      <c r="B285" s="28" t="s">
        <v>2126</v>
      </c>
      <c r="C285" s="32" t="s">
        <v>381</v>
      </c>
      <c r="D285" s="27"/>
      <c r="E285" s="19"/>
    </row>
    <row r="286" spans="2:5" ht="18.600000000000001" hidden="1" customHeight="1" outlineLevel="1" x14ac:dyDescent="0.2">
      <c r="B286" s="28" t="s">
        <v>2126</v>
      </c>
      <c r="C286" s="32" t="s">
        <v>382</v>
      </c>
      <c r="D286" s="27"/>
      <c r="E286" s="19"/>
    </row>
    <row r="287" spans="2:5" ht="18.600000000000001" hidden="1" customHeight="1" outlineLevel="1" x14ac:dyDescent="0.2">
      <c r="B287" s="28" t="s">
        <v>2126</v>
      </c>
      <c r="C287" s="32" t="s">
        <v>383</v>
      </c>
      <c r="D287" s="27"/>
      <c r="E287" s="19"/>
    </row>
    <row r="288" spans="2:5" ht="18.600000000000001" hidden="1" customHeight="1" outlineLevel="1" x14ac:dyDescent="0.2">
      <c r="B288" s="28" t="s">
        <v>2126</v>
      </c>
      <c r="C288" s="32" t="s">
        <v>384</v>
      </c>
      <c r="D288" s="27"/>
      <c r="E288" s="19"/>
    </row>
    <row r="289" spans="2:5" ht="18.600000000000001" hidden="1" customHeight="1" outlineLevel="1" x14ac:dyDescent="0.2">
      <c r="B289" s="28" t="s">
        <v>2126</v>
      </c>
      <c r="C289" s="32" t="s">
        <v>385</v>
      </c>
      <c r="D289" s="27"/>
      <c r="E289" s="19"/>
    </row>
    <row r="290" spans="2:5" ht="18.600000000000001" hidden="1" customHeight="1" outlineLevel="1" x14ac:dyDescent="0.2">
      <c r="B290" s="28" t="s">
        <v>2126</v>
      </c>
      <c r="C290" s="32" t="s">
        <v>386</v>
      </c>
      <c r="D290" s="27"/>
      <c r="E290" s="19"/>
    </row>
    <row r="291" spans="2:5" ht="18.600000000000001" hidden="1" customHeight="1" outlineLevel="1" x14ac:dyDescent="0.2">
      <c r="B291" s="28" t="s">
        <v>2126</v>
      </c>
      <c r="C291" s="32" t="s">
        <v>387</v>
      </c>
      <c r="D291" s="27"/>
      <c r="E291" s="19"/>
    </row>
    <row r="292" spans="2:5" ht="18.600000000000001" hidden="1" customHeight="1" outlineLevel="1" x14ac:dyDescent="0.2">
      <c r="B292" s="28" t="s">
        <v>2126</v>
      </c>
      <c r="C292" s="32" t="s">
        <v>388</v>
      </c>
      <c r="D292" s="27"/>
      <c r="E292" s="19"/>
    </row>
    <row r="293" spans="2:5" ht="18.600000000000001" hidden="1" customHeight="1" outlineLevel="1" x14ac:dyDescent="0.2">
      <c r="B293" s="28" t="s">
        <v>2126</v>
      </c>
      <c r="C293" s="32" t="s">
        <v>389</v>
      </c>
      <c r="D293" s="27"/>
      <c r="E293" s="19"/>
    </row>
    <row r="294" spans="2:5" ht="18.600000000000001" hidden="1" customHeight="1" outlineLevel="1" x14ac:dyDescent="0.2">
      <c r="B294" s="28" t="s">
        <v>2126</v>
      </c>
      <c r="C294" s="32" t="s">
        <v>390</v>
      </c>
      <c r="D294" s="27"/>
      <c r="E294" s="19"/>
    </row>
    <row r="295" spans="2:5" ht="18.600000000000001" hidden="1" customHeight="1" outlineLevel="1" x14ac:dyDescent="0.2">
      <c r="B295" s="28" t="s">
        <v>2126</v>
      </c>
      <c r="C295" s="32" t="s">
        <v>391</v>
      </c>
      <c r="D295" s="27"/>
      <c r="E295" s="19"/>
    </row>
    <row r="296" spans="2:5" ht="18.600000000000001" hidden="1" customHeight="1" outlineLevel="1" x14ac:dyDescent="0.2">
      <c r="B296" s="28" t="s">
        <v>2126</v>
      </c>
      <c r="C296" s="32" t="s">
        <v>392</v>
      </c>
      <c r="D296" s="27"/>
      <c r="E296" s="19"/>
    </row>
    <row r="297" spans="2:5" ht="18.600000000000001" hidden="1" customHeight="1" outlineLevel="1" x14ac:dyDescent="0.2">
      <c r="B297" s="28" t="s">
        <v>2126</v>
      </c>
      <c r="C297" s="32" t="s">
        <v>393</v>
      </c>
      <c r="D297" s="27"/>
      <c r="E297" s="19"/>
    </row>
    <row r="298" spans="2:5" ht="18.600000000000001" hidden="1" customHeight="1" outlineLevel="1" x14ac:dyDescent="0.2">
      <c r="B298" s="28" t="s">
        <v>2126</v>
      </c>
      <c r="C298" s="32" t="s">
        <v>394</v>
      </c>
      <c r="D298" s="27"/>
      <c r="E298" s="19"/>
    </row>
    <row r="299" spans="2:5" ht="18.600000000000001" hidden="1" customHeight="1" outlineLevel="1" x14ac:dyDescent="0.2">
      <c r="B299" s="28" t="s">
        <v>2126</v>
      </c>
      <c r="C299" s="32" t="s">
        <v>395</v>
      </c>
      <c r="D299" s="27"/>
      <c r="E299" s="19"/>
    </row>
    <row r="300" spans="2:5" ht="18.600000000000001" hidden="1" customHeight="1" outlineLevel="1" x14ac:dyDescent="0.2">
      <c r="B300" s="28" t="s">
        <v>2126</v>
      </c>
      <c r="C300" s="32" t="s">
        <v>396</v>
      </c>
      <c r="D300" s="27"/>
      <c r="E300" s="19"/>
    </row>
    <row r="301" spans="2:5" ht="18.600000000000001" hidden="1" customHeight="1" outlineLevel="1" x14ac:dyDescent="0.2">
      <c r="B301" s="28" t="s">
        <v>2126</v>
      </c>
      <c r="C301" s="32" t="s">
        <v>397</v>
      </c>
      <c r="D301" s="27"/>
      <c r="E301" s="19"/>
    </row>
    <row r="302" spans="2:5" ht="18.600000000000001" hidden="1" customHeight="1" outlineLevel="1" x14ac:dyDescent="0.2">
      <c r="B302" s="28" t="s">
        <v>2126</v>
      </c>
      <c r="C302" s="32" t="s">
        <v>398</v>
      </c>
      <c r="D302" s="27"/>
      <c r="E302" s="19"/>
    </row>
    <row r="303" spans="2:5" ht="18.600000000000001" hidden="1" customHeight="1" outlineLevel="1" x14ac:dyDescent="0.2">
      <c r="B303" s="28" t="s">
        <v>2126</v>
      </c>
      <c r="C303" s="32" t="s">
        <v>399</v>
      </c>
      <c r="D303" s="27"/>
      <c r="E303" s="19"/>
    </row>
    <row r="304" spans="2:5" ht="18.600000000000001" hidden="1" customHeight="1" outlineLevel="1" x14ac:dyDescent="0.2">
      <c r="B304" s="28" t="s">
        <v>2126</v>
      </c>
      <c r="C304" s="32" t="s">
        <v>400</v>
      </c>
      <c r="D304" s="27"/>
      <c r="E304" s="19"/>
    </row>
    <row r="305" spans="2:5" ht="18.600000000000001" hidden="1" customHeight="1" outlineLevel="1" x14ac:dyDescent="0.2">
      <c r="B305" s="28" t="s">
        <v>2126</v>
      </c>
      <c r="C305" s="32" t="s">
        <v>406</v>
      </c>
      <c r="D305" s="27"/>
      <c r="E305" s="19"/>
    </row>
    <row r="306" spans="2:5" ht="18.600000000000001" hidden="1" customHeight="1" outlineLevel="1" x14ac:dyDescent="0.2">
      <c r="B306" s="28" t="s">
        <v>2126</v>
      </c>
      <c r="C306" s="32" t="s">
        <v>409</v>
      </c>
      <c r="D306" s="27"/>
      <c r="E306" s="19"/>
    </row>
    <row r="307" spans="2:5" ht="18.600000000000001" hidden="1" customHeight="1" outlineLevel="1" x14ac:dyDescent="0.2">
      <c r="B307" s="28" t="s">
        <v>2126</v>
      </c>
      <c r="C307" s="32" t="s">
        <v>410</v>
      </c>
      <c r="D307" s="27"/>
      <c r="E307" s="19"/>
    </row>
    <row r="308" spans="2:5" ht="18.600000000000001" hidden="1" customHeight="1" outlineLevel="1" x14ac:dyDescent="0.2">
      <c r="B308" s="28" t="s">
        <v>2126</v>
      </c>
      <c r="C308" s="32" t="s">
        <v>411</v>
      </c>
      <c r="D308" s="27"/>
      <c r="E308" s="19"/>
    </row>
    <row r="309" spans="2:5" ht="18.600000000000001" hidden="1" customHeight="1" outlineLevel="1" x14ac:dyDescent="0.2">
      <c r="B309" s="28" t="s">
        <v>2126</v>
      </c>
      <c r="C309" s="32" t="s">
        <v>434</v>
      </c>
      <c r="D309" s="27"/>
      <c r="E309" s="19"/>
    </row>
    <row r="310" spans="2:5" ht="18.600000000000001" hidden="1" customHeight="1" outlineLevel="1" x14ac:dyDescent="0.2">
      <c r="B310" s="28" t="s">
        <v>2126</v>
      </c>
      <c r="C310" s="32" t="s">
        <v>476</v>
      </c>
      <c r="D310" s="27"/>
      <c r="E310" s="19"/>
    </row>
    <row r="311" spans="2:5" ht="18.600000000000001" hidden="1" customHeight="1" outlineLevel="1" x14ac:dyDescent="0.2">
      <c r="B311" s="28" t="s">
        <v>2126</v>
      </c>
      <c r="C311" s="32" t="s">
        <v>477</v>
      </c>
      <c r="D311" s="27"/>
      <c r="E311" s="19"/>
    </row>
    <row r="312" spans="2:5" ht="18.600000000000001" hidden="1" customHeight="1" outlineLevel="1" x14ac:dyDescent="0.2">
      <c r="B312" s="28" t="s">
        <v>2126</v>
      </c>
      <c r="C312" s="32" t="s">
        <v>479</v>
      </c>
      <c r="D312" s="27"/>
      <c r="E312" s="19"/>
    </row>
    <row r="313" spans="2:5" ht="18.600000000000001" hidden="1" customHeight="1" outlineLevel="1" x14ac:dyDescent="0.2">
      <c r="B313" s="28" t="s">
        <v>2126</v>
      </c>
      <c r="C313" s="32" t="s">
        <v>480</v>
      </c>
      <c r="D313" s="27"/>
      <c r="E313" s="19"/>
    </row>
    <row r="314" spans="2:5" ht="18.600000000000001" hidden="1" customHeight="1" outlineLevel="1" x14ac:dyDescent="0.2">
      <c r="B314" s="28" t="s">
        <v>2126</v>
      </c>
      <c r="C314" s="32" t="s">
        <v>481</v>
      </c>
      <c r="D314" s="27"/>
      <c r="E314" s="19"/>
    </row>
    <row r="315" spans="2:5" ht="18.600000000000001" customHeight="1" collapsed="1" x14ac:dyDescent="0.2">
      <c r="B315" s="20" t="s">
        <v>249</v>
      </c>
      <c r="C315" s="32" t="s">
        <v>307</v>
      </c>
      <c r="D315" s="17" t="s">
        <v>213</v>
      </c>
      <c r="E315" s="19">
        <v>1</v>
      </c>
    </row>
    <row r="316" spans="2:5" ht="18.600000000000001" hidden="1" customHeight="1" outlineLevel="1" x14ac:dyDescent="0.2">
      <c r="B316" s="28" t="s">
        <v>249</v>
      </c>
      <c r="C316" s="32" t="s">
        <v>308</v>
      </c>
      <c r="D316" s="27"/>
      <c r="E316" s="19">
        <v>2</v>
      </c>
    </row>
    <row r="317" spans="2:5" ht="18.600000000000001" hidden="1" customHeight="1" outlineLevel="1" x14ac:dyDescent="0.2">
      <c r="B317" s="28" t="s">
        <v>249</v>
      </c>
      <c r="C317" s="32" t="s">
        <v>378</v>
      </c>
      <c r="D317" s="27"/>
      <c r="E317" s="19">
        <v>3</v>
      </c>
    </row>
    <row r="318" spans="2:5" ht="18.600000000000001" hidden="1" customHeight="1" outlineLevel="1" x14ac:dyDescent="0.2">
      <c r="B318" s="28" t="s">
        <v>249</v>
      </c>
      <c r="C318" s="32" t="s">
        <v>379</v>
      </c>
      <c r="D318" s="27"/>
      <c r="E318" s="19">
        <v>4</v>
      </c>
    </row>
    <row r="319" spans="2:5" ht="18.600000000000001" hidden="1" customHeight="1" outlineLevel="1" x14ac:dyDescent="0.2">
      <c r="B319" s="28" t="s">
        <v>249</v>
      </c>
      <c r="C319" s="32" t="s">
        <v>380</v>
      </c>
      <c r="D319" s="27"/>
      <c r="E319" s="19">
        <v>5</v>
      </c>
    </row>
    <row r="320" spans="2:5" ht="18.600000000000001" hidden="1" customHeight="1" outlineLevel="1" x14ac:dyDescent="0.2">
      <c r="B320" s="28" t="s">
        <v>249</v>
      </c>
      <c r="C320" s="32" t="s">
        <v>381</v>
      </c>
      <c r="D320" s="27"/>
      <c r="E320" s="19">
        <v>6</v>
      </c>
    </row>
    <row r="321" spans="2:5" ht="18.600000000000001" hidden="1" customHeight="1" outlineLevel="1" x14ac:dyDescent="0.2">
      <c r="B321" s="28" t="s">
        <v>249</v>
      </c>
      <c r="C321" s="32" t="s">
        <v>382</v>
      </c>
      <c r="D321" s="27"/>
      <c r="E321" s="19">
        <v>7</v>
      </c>
    </row>
    <row r="322" spans="2:5" ht="18.600000000000001" hidden="1" customHeight="1" outlineLevel="1" x14ac:dyDescent="0.2">
      <c r="B322" s="28" t="s">
        <v>249</v>
      </c>
      <c r="C322" s="32" t="s">
        <v>383</v>
      </c>
      <c r="D322" s="27"/>
      <c r="E322" s="19">
        <v>8</v>
      </c>
    </row>
    <row r="323" spans="2:5" ht="18.600000000000001" hidden="1" customHeight="1" outlineLevel="1" x14ac:dyDescent="0.2">
      <c r="B323" s="28" t="s">
        <v>249</v>
      </c>
      <c r="C323" s="32" t="s">
        <v>384</v>
      </c>
      <c r="D323" s="27"/>
      <c r="E323" s="19">
        <v>9</v>
      </c>
    </row>
    <row r="324" spans="2:5" ht="18.600000000000001" hidden="1" customHeight="1" outlineLevel="1" x14ac:dyDescent="0.2">
      <c r="B324" s="28" t="s">
        <v>249</v>
      </c>
      <c r="C324" s="32" t="s">
        <v>385</v>
      </c>
      <c r="D324" s="27"/>
      <c r="E324" s="19">
        <v>10</v>
      </c>
    </row>
    <row r="325" spans="2:5" ht="18.600000000000001" hidden="1" customHeight="1" outlineLevel="1" x14ac:dyDescent="0.2">
      <c r="B325" s="28" t="s">
        <v>249</v>
      </c>
      <c r="C325" s="32" t="s">
        <v>386</v>
      </c>
      <c r="D325" s="27"/>
      <c r="E325" s="19">
        <v>11</v>
      </c>
    </row>
    <row r="326" spans="2:5" ht="18.600000000000001" hidden="1" customHeight="1" outlineLevel="1" x14ac:dyDescent="0.2">
      <c r="B326" s="28" t="s">
        <v>249</v>
      </c>
      <c r="C326" s="32" t="s">
        <v>387</v>
      </c>
      <c r="D326" s="27"/>
      <c r="E326" s="19">
        <v>12</v>
      </c>
    </row>
    <row r="327" spans="2:5" ht="18.600000000000001" hidden="1" customHeight="1" outlineLevel="1" x14ac:dyDescent="0.2">
      <c r="B327" s="28" t="s">
        <v>249</v>
      </c>
      <c r="C327" s="32" t="s">
        <v>388</v>
      </c>
      <c r="D327" s="27"/>
      <c r="E327" s="19">
        <v>13</v>
      </c>
    </row>
    <row r="328" spans="2:5" ht="18.600000000000001" hidden="1" customHeight="1" outlineLevel="1" x14ac:dyDescent="0.2">
      <c r="B328" s="28" t="s">
        <v>249</v>
      </c>
      <c r="C328" s="32" t="s">
        <v>389</v>
      </c>
      <c r="D328" s="27"/>
      <c r="E328" s="19">
        <v>14</v>
      </c>
    </row>
    <row r="329" spans="2:5" ht="18.600000000000001" hidden="1" customHeight="1" outlineLevel="1" x14ac:dyDescent="0.2">
      <c r="B329" s="28" t="s">
        <v>249</v>
      </c>
      <c r="C329" s="32" t="s">
        <v>390</v>
      </c>
      <c r="D329" s="27"/>
      <c r="E329" s="19">
        <v>15</v>
      </c>
    </row>
    <row r="330" spans="2:5" ht="18.600000000000001" hidden="1" customHeight="1" outlineLevel="1" x14ac:dyDescent="0.2">
      <c r="B330" s="28" t="s">
        <v>249</v>
      </c>
      <c r="C330" s="32" t="s">
        <v>391</v>
      </c>
      <c r="D330" s="27"/>
      <c r="E330" s="19">
        <v>16</v>
      </c>
    </row>
    <row r="331" spans="2:5" ht="18.600000000000001" hidden="1" customHeight="1" outlineLevel="1" x14ac:dyDescent="0.2">
      <c r="B331" s="28" t="s">
        <v>249</v>
      </c>
      <c r="C331" s="32" t="s">
        <v>392</v>
      </c>
      <c r="D331" s="27"/>
      <c r="E331" s="19">
        <v>17</v>
      </c>
    </row>
    <row r="332" spans="2:5" ht="18.600000000000001" hidden="1" customHeight="1" outlineLevel="1" x14ac:dyDescent="0.2">
      <c r="B332" s="28" t="s">
        <v>249</v>
      </c>
      <c r="C332" s="32" t="s">
        <v>393</v>
      </c>
      <c r="D332" s="27"/>
      <c r="E332" s="19">
        <v>18</v>
      </c>
    </row>
    <row r="333" spans="2:5" ht="18.600000000000001" hidden="1" customHeight="1" outlineLevel="1" x14ac:dyDescent="0.2">
      <c r="B333" s="28" t="s">
        <v>249</v>
      </c>
      <c r="C333" s="32" t="s">
        <v>394</v>
      </c>
      <c r="D333" s="27"/>
      <c r="E333" s="19">
        <v>19</v>
      </c>
    </row>
    <row r="334" spans="2:5" ht="18.600000000000001" hidden="1" customHeight="1" outlineLevel="1" x14ac:dyDescent="0.2">
      <c r="B334" s="28" t="s">
        <v>249</v>
      </c>
      <c r="C334" s="32" t="s">
        <v>395</v>
      </c>
      <c r="D334" s="27"/>
      <c r="E334" s="19">
        <v>20</v>
      </c>
    </row>
    <row r="335" spans="2:5" ht="18.600000000000001" hidden="1" customHeight="1" outlineLevel="1" x14ac:dyDescent="0.2">
      <c r="B335" s="28" t="s">
        <v>249</v>
      </c>
      <c r="C335" s="32" t="s">
        <v>396</v>
      </c>
      <c r="D335" s="27"/>
      <c r="E335" s="19">
        <v>21</v>
      </c>
    </row>
    <row r="336" spans="2:5" ht="18.600000000000001" hidden="1" customHeight="1" outlineLevel="1" x14ac:dyDescent="0.2">
      <c r="B336" s="28" t="s">
        <v>249</v>
      </c>
      <c r="C336" s="32" t="s">
        <v>397</v>
      </c>
      <c r="D336" s="27"/>
      <c r="E336" s="19">
        <v>22</v>
      </c>
    </row>
    <row r="337" spans="2:5" ht="18.600000000000001" hidden="1" customHeight="1" outlineLevel="1" x14ac:dyDescent="0.2">
      <c r="B337" s="28" t="s">
        <v>249</v>
      </c>
      <c r="C337" s="32" t="s">
        <v>398</v>
      </c>
      <c r="D337" s="27"/>
      <c r="E337" s="19">
        <v>23</v>
      </c>
    </row>
    <row r="338" spans="2:5" ht="18.600000000000001" hidden="1" customHeight="1" outlineLevel="1" x14ac:dyDescent="0.2">
      <c r="B338" s="28" t="s">
        <v>249</v>
      </c>
      <c r="C338" s="32" t="s">
        <v>399</v>
      </c>
      <c r="D338" s="27"/>
      <c r="E338" s="19">
        <v>24</v>
      </c>
    </row>
    <row r="339" spans="2:5" ht="18.600000000000001" hidden="1" customHeight="1" outlineLevel="1" x14ac:dyDescent="0.2">
      <c r="B339" s="28" t="s">
        <v>249</v>
      </c>
      <c r="C339" s="32" t="s">
        <v>400</v>
      </c>
      <c r="D339" s="27"/>
      <c r="E339" s="19">
        <v>25</v>
      </c>
    </row>
    <row r="340" spans="2:5" ht="18.600000000000001" hidden="1" customHeight="1" outlineLevel="1" x14ac:dyDescent="0.2">
      <c r="B340" s="28" t="s">
        <v>249</v>
      </c>
      <c r="C340" s="32" t="s">
        <v>406</v>
      </c>
      <c r="D340" s="27"/>
      <c r="E340" s="19">
        <v>26</v>
      </c>
    </row>
    <row r="341" spans="2:5" ht="18.600000000000001" hidden="1" customHeight="1" outlineLevel="1" x14ac:dyDescent="0.2">
      <c r="B341" s="28" t="s">
        <v>249</v>
      </c>
      <c r="C341" s="32" t="s">
        <v>409</v>
      </c>
      <c r="D341" s="27"/>
      <c r="E341" s="19">
        <v>27</v>
      </c>
    </row>
    <row r="342" spans="2:5" ht="18.600000000000001" hidden="1" customHeight="1" outlineLevel="1" x14ac:dyDescent="0.2">
      <c r="B342" s="28" t="s">
        <v>249</v>
      </c>
      <c r="C342" s="32" t="s">
        <v>410</v>
      </c>
      <c r="D342" s="27"/>
      <c r="E342" s="19">
        <v>28</v>
      </c>
    </row>
    <row r="343" spans="2:5" ht="18.600000000000001" hidden="1" customHeight="1" outlineLevel="1" x14ac:dyDescent="0.2">
      <c r="B343" s="28" t="s">
        <v>249</v>
      </c>
      <c r="C343" s="32" t="s">
        <v>411</v>
      </c>
      <c r="D343" s="27"/>
      <c r="E343" s="19">
        <v>29</v>
      </c>
    </row>
    <row r="344" spans="2:5" ht="18.600000000000001" hidden="1" customHeight="1" outlineLevel="1" x14ac:dyDescent="0.2">
      <c r="B344" s="28" t="s">
        <v>249</v>
      </c>
      <c r="C344" s="32" t="s">
        <v>434</v>
      </c>
      <c r="D344" s="27"/>
      <c r="E344" s="19">
        <v>30</v>
      </c>
    </row>
    <row r="345" spans="2:5" ht="18.600000000000001" hidden="1" customHeight="1" outlineLevel="1" x14ac:dyDescent="0.2">
      <c r="B345" s="28" t="s">
        <v>249</v>
      </c>
      <c r="C345" s="32" t="s">
        <v>476</v>
      </c>
      <c r="D345" s="27"/>
      <c r="E345" s="19">
        <v>31</v>
      </c>
    </row>
    <row r="346" spans="2:5" ht="18.600000000000001" hidden="1" customHeight="1" outlineLevel="1" x14ac:dyDescent="0.2">
      <c r="B346" s="28" t="s">
        <v>249</v>
      </c>
      <c r="C346" s="32" t="s">
        <v>477</v>
      </c>
      <c r="D346" s="27"/>
      <c r="E346" s="19">
        <v>32</v>
      </c>
    </row>
    <row r="347" spans="2:5" ht="18.600000000000001" hidden="1" customHeight="1" outlineLevel="1" x14ac:dyDescent="0.2">
      <c r="B347" s="28" t="s">
        <v>249</v>
      </c>
      <c r="C347" s="32" t="s">
        <v>479</v>
      </c>
      <c r="D347" s="27"/>
      <c r="E347" s="19">
        <v>33</v>
      </c>
    </row>
    <row r="348" spans="2:5" ht="18.600000000000001" hidden="1" customHeight="1" outlineLevel="1" x14ac:dyDescent="0.2">
      <c r="B348" s="28" t="s">
        <v>249</v>
      </c>
      <c r="C348" s="32" t="s">
        <v>480</v>
      </c>
      <c r="D348" s="27"/>
      <c r="E348" s="19">
        <v>34</v>
      </c>
    </row>
    <row r="349" spans="2:5" ht="18.600000000000001" hidden="1" customHeight="1" outlineLevel="1" x14ac:dyDescent="0.2">
      <c r="B349" s="28" t="s">
        <v>249</v>
      </c>
      <c r="C349" s="32" t="s">
        <v>481</v>
      </c>
      <c r="D349" s="27"/>
      <c r="E349" s="19">
        <v>35</v>
      </c>
    </row>
  </sheetData>
  <autoFilter ref="C3:C4"/>
  <mergeCells count="1">
    <mergeCell ref="B1:E1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"/>
  <sheetViews>
    <sheetView workbookViewId="0"/>
  </sheetViews>
  <sheetFormatPr defaultRowHeight="12.75" x14ac:dyDescent="0.2"/>
  <sheetData>
    <row r="1" spans="1:1" x14ac:dyDescent="0.2">
      <c r="A1" s="10" t="str">
        <f ca="1">CELL("filename",'-Home-'!$A$1)</f>
        <v>C:\Users\ultraflexdev\Desktop\Current\[8.10.14_CelerintB.xlsm]-Home-</v>
      </c>
    </row>
    <row r="2" spans="1:1" x14ac:dyDescent="0.2">
      <c r="A2" s="10" t="str">
        <f ca="1">CELL("filename",TraceLengths!$A$1)</f>
        <v>C:\Users\ultraflexdev\Desktop\Current\[8.10.14_CelerintB.xlsm]TraceLengths</v>
      </c>
    </row>
    <row r="3" spans="1:1" x14ac:dyDescent="0.2">
      <c r="A3" s="10" t="str">
        <f ca="1">CELL("filename",'Execution Profile'!$A$1)</f>
        <v>C:\Users\ultraflexdev\Desktop\Current\[8.10.14_CelerintB.xlsm]Execution Profile</v>
      </c>
    </row>
    <row r="4" spans="1:1" x14ac:dyDescent="0.2">
      <c r="A4" s="10" t="str">
        <f ca="1">CELL("filename",'Test Instances'!$A$1)</f>
        <v>C:\Users\ultraflexdev\Desktop\Current\[8.10.14_CelerintB.xlsm]Test Instances</v>
      </c>
    </row>
    <row r="5" spans="1:1" x14ac:dyDescent="0.2">
      <c r="A5" s="10" t="str">
        <f ca="1">CELL("filename",'Time Sets'!$A$1)</f>
        <v>C:\Users\ultraflexdev\Desktop\Current\[8.10.14_CelerintB.xlsm]Time Sets</v>
      </c>
    </row>
    <row r="6" spans="1:1" x14ac:dyDescent="0.2">
      <c r="A6" s="10" t="str">
        <f ca="1">CELL("filename",Levels!$A$1)</f>
        <v>C:\Users\ultraflexdev\Desktop\Current\[8.10.14_CelerintB.xlsm]Levels</v>
      </c>
    </row>
    <row r="7" spans="1:1" x14ac:dyDescent="0.2">
      <c r="A7" s="10" t="str">
        <f ca="1">CELL("filename",'8.10.14-flowtable'!$A$1)</f>
        <v>C:\Users\ultraflexdev\Desktop\Current\[8.10.14_CelerintB.xlsm]8.10.14-flowtable</v>
      </c>
    </row>
    <row r="8" spans="1:1" x14ac:dyDescent="0.2">
      <c r="A8" s="10" t="str">
        <f ca="1">CELL("filename",'Global Specs'!$A$1)</f>
        <v>C:\Users\ultraflexdev\Desktop\Current\[8.10.14_CelerintB.xlsm]Global Specs</v>
      </c>
    </row>
    <row r="9" spans="1:1" x14ac:dyDescent="0.2">
      <c r="A9" s="10" t="str">
        <f ca="1">CELL("filename",ChanMap28x!$A$1)</f>
        <v>C:\Users\ultraflexdev\Desktop\Current\[8.10.14_CelerintB.xlsm]ChanMap28x</v>
      </c>
    </row>
    <row r="10" spans="1:1" x14ac:dyDescent="0.2">
      <c r="A10" s="10" t="str">
        <f ca="1">CELL("filename",Pinmap!$A$1)</f>
        <v>C:\Users\ultraflexdev\Desktop\Current\[8.10.14_CelerintB.xlsm]Pinmap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outlinePr summaryBelow="0" summaryRight="0"/>
  </sheetPr>
  <dimension ref="A1:AG229"/>
  <sheetViews>
    <sheetView showGridLines="0" tabSelected="1" workbookViewId="0">
      <pane ySplit="6" topLeftCell="A160" activePane="bottomLeft" state="frozen"/>
      <selection pane="bottomLeft" activeCell="D165" sqref="D165"/>
    </sheetView>
  </sheetViews>
  <sheetFormatPr defaultRowHeight="18.600000000000001" customHeight="1" x14ac:dyDescent="0.2"/>
  <cols>
    <col min="1" max="1" width="9.140625" style="10"/>
    <col min="2" max="4" width="13.42578125" style="10" customWidth="1"/>
    <col min="5" max="32" width="9.140625" style="10" customWidth="1"/>
    <col min="33" max="33" width="42.85546875" style="10" customWidth="1"/>
    <col min="34" max="16384" width="9.140625" style="10"/>
  </cols>
  <sheetData>
    <row r="1" spans="1:33" ht="26.25" x14ac:dyDescent="0.4">
      <c r="A1" s="13" t="s">
        <v>206</v>
      </c>
      <c r="B1" s="16" t="s">
        <v>211</v>
      </c>
      <c r="C1" s="16"/>
      <c r="D1" s="16"/>
      <c r="E1" s="16"/>
      <c r="F1" s="16"/>
      <c r="G1" s="16"/>
    </row>
    <row r="2" spans="1:33" ht="12.75" x14ac:dyDescent="0.2"/>
    <row r="3" spans="1:33" ht="18.600000000000001" customHeight="1" x14ac:dyDescent="0.2">
      <c r="B3" s="22" t="s">
        <v>203</v>
      </c>
      <c r="C3" s="31"/>
      <c r="E3" s="22" t="s">
        <v>205</v>
      </c>
      <c r="F3" s="12" t="s">
        <v>2360</v>
      </c>
      <c r="H3" s="22" t="s">
        <v>204</v>
      </c>
      <c r="I3" s="12"/>
      <c r="J3" s="22" t="s">
        <v>202</v>
      </c>
      <c r="K3" s="31"/>
    </row>
    <row r="4" spans="1:33" ht="13.5" thickBot="1" x14ac:dyDescent="0.25"/>
    <row r="5" spans="1:33" s="11" customFormat="1" ht="13.5" thickBot="1" x14ac:dyDescent="0.25">
      <c r="B5" s="23" t="s">
        <v>208</v>
      </c>
      <c r="C5" s="25"/>
      <c r="D5" s="23" t="s">
        <v>210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5"/>
    </row>
    <row r="6" spans="1:33" s="11" customFormat="1" ht="13.5" thickBot="1" x14ac:dyDescent="0.25">
      <c r="B6" s="14" t="s">
        <v>1</v>
      </c>
      <c r="C6" s="15" t="s">
        <v>207</v>
      </c>
      <c r="D6" s="14" t="s">
        <v>2</v>
      </c>
      <c r="E6" s="14" t="s">
        <v>209</v>
      </c>
      <c r="F6" s="14" t="s">
        <v>280</v>
      </c>
      <c r="G6" s="14" t="s">
        <v>281</v>
      </c>
      <c r="H6" s="14" t="s">
        <v>282</v>
      </c>
      <c r="I6" s="14" t="s">
        <v>283</v>
      </c>
      <c r="J6" s="14" t="s">
        <v>284</v>
      </c>
      <c r="K6" s="14" t="s">
        <v>285</v>
      </c>
      <c r="L6" s="14" t="s">
        <v>286</v>
      </c>
      <c r="M6" s="14" t="s">
        <v>287</v>
      </c>
      <c r="N6" s="14" t="s">
        <v>288</v>
      </c>
      <c r="O6" s="14" t="s">
        <v>289</v>
      </c>
      <c r="P6" s="14" t="s">
        <v>290</v>
      </c>
      <c r="Q6" s="14" t="s">
        <v>291</v>
      </c>
      <c r="R6" s="14" t="s">
        <v>292</v>
      </c>
      <c r="S6" s="14" t="s">
        <v>293</v>
      </c>
      <c r="T6" s="14" t="s">
        <v>294</v>
      </c>
      <c r="U6" s="14" t="s">
        <v>295</v>
      </c>
      <c r="V6" s="14" t="s">
        <v>296</v>
      </c>
      <c r="W6" s="14" t="s">
        <v>297</v>
      </c>
      <c r="X6" s="14" t="s">
        <v>298</v>
      </c>
      <c r="Y6" s="14" t="s">
        <v>299</v>
      </c>
      <c r="Z6" s="14" t="s">
        <v>300</v>
      </c>
      <c r="AA6" s="14" t="s">
        <v>301</v>
      </c>
      <c r="AB6" s="14" t="s">
        <v>302</v>
      </c>
      <c r="AC6" s="14" t="s">
        <v>303</v>
      </c>
      <c r="AD6" s="14" t="s">
        <v>304</v>
      </c>
      <c r="AE6" s="14" t="s">
        <v>305</v>
      </c>
      <c r="AF6" s="14" t="s">
        <v>306</v>
      </c>
      <c r="AG6" s="15" t="s">
        <v>3</v>
      </c>
    </row>
    <row r="7" spans="1:33" ht="18.600000000000001" customHeight="1" x14ac:dyDescent="0.2">
      <c r="B7" s="38" t="s">
        <v>307</v>
      </c>
      <c r="C7" s="19"/>
      <c r="D7" s="32" t="s">
        <v>213</v>
      </c>
      <c r="E7" s="32" t="s">
        <v>617</v>
      </c>
      <c r="F7" s="32" t="s">
        <v>618</v>
      </c>
      <c r="G7" s="32" t="s">
        <v>619</v>
      </c>
      <c r="H7" s="32" t="s">
        <v>620</v>
      </c>
      <c r="I7" s="32" t="s">
        <v>621</v>
      </c>
      <c r="J7" s="32" t="s">
        <v>622</v>
      </c>
      <c r="K7" s="32" t="s">
        <v>623</v>
      </c>
      <c r="L7" s="32" t="s">
        <v>624</v>
      </c>
      <c r="M7" s="32" t="s">
        <v>625</v>
      </c>
      <c r="N7" s="32" t="s">
        <v>626</v>
      </c>
      <c r="O7" s="32" t="s">
        <v>627</v>
      </c>
      <c r="P7" s="32" t="s">
        <v>628</v>
      </c>
      <c r="Q7" s="32" t="s">
        <v>629</v>
      </c>
      <c r="R7" s="32" t="s">
        <v>630</v>
      </c>
      <c r="S7" s="32" t="s">
        <v>631</v>
      </c>
      <c r="T7" s="32" t="s">
        <v>632</v>
      </c>
      <c r="U7" s="32" t="s">
        <v>633</v>
      </c>
      <c r="V7" s="32" t="s">
        <v>634</v>
      </c>
      <c r="W7" s="32" t="s">
        <v>635</v>
      </c>
      <c r="X7" s="32" t="s">
        <v>636</v>
      </c>
      <c r="Y7" s="32" t="s">
        <v>637</v>
      </c>
      <c r="Z7" s="32" t="s">
        <v>638</v>
      </c>
      <c r="AA7" s="32" t="s">
        <v>639</v>
      </c>
      <c r="AB7" s="32" t="s">
        <v>640</v>
      </c>
      <c r="AC7" s="32" t="s">
        <v>641</v>
      </c>
      <c r="AD7" s="32" t="s">
        <v>642</v>
      </c>
      <c r="AE7" s="32" t="s">
        <v>643</v>
      </c>
      <c r="AF7" s="32" t="s">
        <v>644</v>
      </c>
      <c r="AG7" s="19"/>
    </row>
    <row r="8" spans="1:33" ht="18.600000000000001" customHeight="1" x14ac:dyDescent="0.2">
      <c r="B8" s="32" t="s">
        <v>308</v>
      </c>
      <c r="C8" s="19"/>
      <c r="D8" s="32" t="s">
        <v>213</v>
      </c>
      <c r="E8" s="32" t="s">
        <v>645</v>
      </c>
      <c r="F8" s="32" t="s">
        <v>646</v>
      </c>
      <c r="G8" s="32" t="s">
        <v>647</v>
      </c>
      <c r="H8" s="32" t="s">
        <v>648</v>
      </c>
      <c r="I8" s="32" t="s">
        <v>649</v>
      </c>
      <c r="J8" s="32" t="s">
        <v>650</v>
      </c>
      <c r="K8" s="32" t="s">
        <v>651</v>
      </c>
      <c r="L8" s="32" t="s">
        <v>652</v>
      </c>
      <c r="M8" s="32" t="s">
        <v>653</v>
      </c>
      <c r="N8" s="32" t="s">
        <v>654</v>
      </c>
      <c r="O8" s="32" t="s">
        <v>655</v>
      </c>
      <c r="P8" s="32" t="s">
        <v>656</v>
      </c>
      <c r="Q8" s="32" t="s">
        <v>657</v>
      </c>
      <c r="R8" s="32" t="s">
        <v>658</v>
      </c>
      <c r="S8" s="32" t="s">
        <v>659</v>
      </c>
      <c r="T8" s="32" t="s">
        <v>660</v>
      </c>
      <c r="U8" s="32" t="s">
        <v>661</v>
      </c>
      <c r="V8" s="32" t="s">
        <v>662</v>
      </c>
      <c r="W8" s="32" t="s">
        <v>663</v>
      </c>
      <c r="X8" s="32" t="s">
        <v>664</v>
      </c>
      <c r="Y8" s="32" t="s">
        <v>665</v>
      </c>
      <c r="Z8" s="32" t="s">
        <v>666</v>
      </c>
      <c r="AA8" s="32" t="s">
        <v>667</v>
      </c>
      <c r="AB8" s="32" t="s">
        <v>668</v>
      </c>
      <c r="AC8" s="32" t="s">
        <v>669</v>
      </c>
      <c r="AD8" s="32" t="s">
        <v>670</v>
      </c>
      <c r="AE8" s="32" t="s">
        <v>671</v>
      </c>
      <c r="AF8" s="32" t="s">
        <v>672</v>
      </c>
      <c r="AG8" s="19"/>
    </row>
    <row r="9" spans="1:33" ht="18.600000000000001" customHeight="1" x14ac:dyDescent="0.2">
      <c r="B9" s="32" t="s">
        <v>309</v>
      </c>
      <c r="C9" s="19"/>
      <c r="D9" s="32" t="s">
        <v>310</v>
      </c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19"/>
    </row>
    <row r="10" spans="1:33" ht="18.600000000000001" customHeight="1" x14ac:dyDescent="0.2">
      <c r="B10" s="32" t="s">
        <v>311</v>
      </c>
      <c r="C10" s="19"/>
      <c r="D10" s="32" t="s">
        <v>310</v>
      </c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19"/>
    </row>
    <row r="11" spans="1:33" ht="18.600000000000001" customHeight="1" x14ac:dyDescent="0.2">
      <c r="B11" s="32" t="s">
        <v>312</v>
      </c>
      <c r="C11" s="19"/>
      <c r="D11" s="32" t="s">
        <v>310</v>
      </c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19"/>
    </row>
    <row r="12" spans="1:33" ht="18.600000000000001" customHeight="1" x14ac:dyDescent="0.2">
      <c r="B12" s="32" t="s">
        <v>313</v>
      </c>
      <c r="C12" s="19"/>
      <c r="D12" s="32" t="s">
        <v>310</v>
      </c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19"/>
    </row>
    <row r="13" spans="1:33" ht="18.600000000000001" customHeight="1" x14ac:dyDescent="0.2">
      <c r="B13" s="32" t="s">
        <v>314</v>
      </c>
      <c r="C13" s="19"/>
      <c r="D13" s="32" t="s">
        <v>310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19"/>
    </row>
    <row r="14" spans="1:33" ht="18.600000000000001" customHeight="1" x14ac:dyDescent="0.2">
      <c r="B14" s="32" t="s">
        <v>315</v>
      </c>
      <c r="C14" s="19"/>
      <c r="D14" s="32" t="s">
        <v>310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19"/>
    </row>
    <row r="15" spans="1:33" ht="18.600000000000001" customHeight="1" x14ac:dyDescent="0.2">
      <c r="B15" s="32" t="s">
        <v>316</v>
      </c>
      <c r="C15" s="19"/>
      <c r="D15" s="32" t="s">
        <v>310</v>
      </c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19"/>
    </row>
    <row r="16" spans="1:33" ht="18.600000000000001" customHeight="1" x14ac:dyDescent="0.2">
      <c r="B16" s="32" t="s">
        <v>317</v>
      </c>
      <c r="C16" s="19"/>
      <c r="D16" s="32" t="s">
        <v>310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19"/>
    </row>
    <row r="17" spans="2:33" ht="18.600000000000001" customHeight="1" x14ac:dyDescent="0.2">
      <c r="B17" s="32" t="s">
        <v>318</v>
      </c>
      <c r="C17" s="19"/>
      <c r="D17" s="32" t="s">
        <v>310</v>
      </c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19"/>
    </row>
    <row r="18" spans="2:33" ht="18.600000000000001" customHeight="1" x14ac:dyDescent="0.2">
      <c r="B18" s="32" t="s">
        <v>319</v>
      </c>
      <c r="C18" s="19"/>
      <c r="D18" s="32" t="s">
        <v>310</v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19"/>
    </row>
    <row r="19" spans="2:33" ht="18.600000000000001" customHeight="1" x14ac:dyDescent="0.2">
      <c r="B19" s="32" t="s">
        <v>320</v>
      </c>
      <c r="C19" s="19"/>
      <c r="D19" s="32" t="s">
        <v>310</v>
      </c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19"/>
    </row>
    <row r="20" spans="2:33" ht="18.600000000000001" customHeight="1" x14ac:dyDescent="0.2">
      <c r="B20" s="32" t="s">
        <v>321</v>
      </c>
      <c r="C20" s="19"/>
      <c r="D20" s="32" t="s">
        <v>310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19"/>
    </row>
    <row r="21" spans="2:33" ht="18.600000000000001" customHeight="1" x14ac:dyDescent="0.2">
      <c r="B21" s="32" t="s">
        <v>322</v>
      </c>
      <c r="C21" s="19"/>
      <c r="D21" s="32" t="s">
        <v>310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19"/>
    </row>
    <row r="22" spans="2:33" ht="18.600000000000001" customHeight="1" x14ac:dyDescent="0.2">
      <c r="B22" s="32" t="s">
        <v>323</v>
      </c>
      <c r="C22" s="19"/>
      <c r="D22" s="32" t="s">
        <v>310</v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19"/>
    </row>
    <row r="23" spans="2:33" ht="18.600000000000001" customHeight="1" x14ac:dyDescent="0.2">
      <c r="B23" s="32" t="s">
        <v>324</v>
      </c>
      <c r="C23" s="19"/>
      <c r="D23" s="32" t="s">
        <v>310</v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19"/>
    </row>
    <row r="24" spans="2:33" ht="18.600000000000001" customHeight="1" x14ac:dyDescent="0.2">
      <c r="B24" s="32" t="s">
        <v>325</v>
      </c>
      <c r="C24" s="19"/>
      <c r="D24" s="32" t="s">
        <v>310</v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19"/>
    </row>
    <row r="25" spans="2:33" ht="18.600000000000001" customHeight="1" x14ac:dyDescent="0.2">
      <c r="B25" s="32" t="s">
        <v>326</v>
      </c>
      <c r="C25" s="19"/>
      <c r="D25" s="32" t="s">
        <v>310</v>
      </c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19"/>
    </row>
    <row r="26" spans="2:33" ht="18.600000000000001" customHeight="1" x14ac:dyDescent="0.2">
      <c r="B26" s="32" t="s">
        <v>327</v>
      </c>
      <c r="C26" s="19"/>
      <c r="D26" s="32" t="s">
        <v>310</v>
      </c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19"/>
    </row>
    <row r="27" spans="2:33" ht="18.600000000000001" customHeight="1" x14ac:dyDescent="0.2">
      <c r="B27" s="32" t="s">
        <v>328</v>
      </c>
      <c r="C27" s="19"/>
      <c r="D27" s="32" t="s">
        <v>310</v>
      </c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19"/>
    </row>
    <row r="28" spans="2:33" ht="18.600000000000001" customHeight="1" x14ac:dyDescent="0.2">
      <c r="B28" s="32" t="s">
        <v>329</v>
      </c>
      <c r="C28" s="19"/>
      <c r="D28" s="32" t="s">
        <v>310</v>
      </c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19"/>
    </row>
    <row r="29" spans="2:33" ht="18.600000000000001" customHeight="1" x14ac:dyDescent="0.2">
      <c r="B29" s="32" t="s">
        <v>330</v>
      </c>
      <c r="C29" s="19"/>
      <c r="D29" s="32" t="s">
        <v>310</v>
      </c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19"/>
    </row>
    <row r="30" spans="2:33" ht="18.600000000000001" customHeight="1" x14ac:dyDescent="0.2">
      <c r="B30" s="32" t="s">
        <v>331</v>
      </c>
      <c r="C30" s="19"/>
      <c r="D30" s="32" t="s">
        <v>310</v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19"/>
    </row>
    <row r="31" spans="2:33" ht="18.600000000000001" customHeight="1" x14ac:dyDescent="0.2">
      <c r="B31" s="32" t="s">
        <v>332</v>
      </c>
      <c r="C31" s="19"/>
      <c r="D31" s="32" t="s">
        <v>310</v>
      </c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19"/>
    </row>
    <row r="32" spans="2:33" ht="18.600000000000001" customHeight="1" x14ac:dyDescent="0.2">
      <c r="B32" s="32" t="s">
        <v>333</v>
      </c>
      <c r="C32" s="19"/>
      <c r="D32" s="32" t="s">
        <v>310</v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19"/>
    </row>
    <row r="33" spans="2:33" ht="18.600000000000001" customHeight="1" x14ac:dyDescent="0.2">
      <c r="B33" s="32" t="s">
        <v>334</v>
      </c>
      <c r="C33" s="19"/>
      <c r="D33" s="32" t="s">
        <v>310</v>
      </c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19"/>
    </row>
    <row r="34" spans="2:33" ht="18.600000000000001" customHeight="1" x14ac:dyDescent="0.2">
      <c r="B34" s="32" t="s">
        <v>335</v>
      </c>
      <c r="C34" s="19"/>
      <c r="D34" s="32" t="s">
        <v>310</v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19"/>
    </row>
    <row r="35" spans="2:33" ht="18.600000000000001" customHeight="1" x14ac:dyDescent="0.2">
      <c r="B35" s="32" t="s">
        <v>336</v>
      </c>
      <c r="C35" s="19"/>
      <c r="D35" s="32" t="s">
        <v>310</v>
      </c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19"/>
    </row>
    <row r="36" spans="2:33" ht="18.600000000000001" customHeight="1" x14ac:dyDescent="0.2">
      <c r="B36" s="32" t="s">
        <v>337</v>
      </c>
      <c r="C36" s="19"/>
      <c r="D36" s="32" t="s">
        <v>310</v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19"/>
    </row>
    <row r="37" spans="2:33" ht="18.600000000000001" customHeight="1" x14ac:dyDescent="0.2">
      <c r="B37" s="32" t="s">
        <v>338</v>
      </c>
      <c r="C37" s="19"/>
      <c r="D37" s="32" t="s">
        <v>310</v>
      </c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19"/>
    </row>
    <row r="38" spans="2:33" ht="18.600000000000001" customHeight="1" x14ac:dyDescent="0.2">
      <c r="B38" s="32" t="s">
        <v>339</v>
      </c>
      <c r="C38" s="19"/>
      <c r="D38" s="32" t="s">
        <v>310</v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19"/>
    </row>
    <row r="39" spans="2:33" ht="18.600000000000001" customHeight="1" x14ac:dyDescent="0.2">
      <c r="B39" s="32" t="s">
        <v>340</v>
      </c>
      <c r="C39" s="19"/>
      <c r="D39" s="32" t="s">
        <v>310</v>
      </c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19"/>
    </row>
    <row r="40" spans="2:33" ht="18.600000000000001" customHeight="1" x14ac:dyDescent="0.2">
      <c r="B40" s="32" t="s">
        <v>341</v>
      </c>
      <c r="C40" s="19"/>
      <c r="D40" s="32" t="s">
        <v>310</v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19"/>
    </row>
    <row r="41" spans="2:33" ht="18.600000000000001" customHeight="1" x14ac:dyDescent="0.2">
      <c r="B41" s="32" t="s">
        <v>342</v>
      </c>
      <c r="C41" s="19"/>
      <c r="D41" s="32" t="s">
        <v>310</v>
      </c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19"/>
    </row>
    <row r="42" spans="2:33" ht="18.600000000000001" customHeight="1" x14ac:dyDescent="0.2">
      <c r="B42" s="32" t="s">
        <v>343</v>
      </c>
      <c r="C42" s="19"/>
      <c r="D42" s="32" t="s">
        <v>310</v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19"/>
    </row>
    <row r="43" spans="2:33" ht="18.600000000000001" customHeight="1" x14ac:dyDescent="0.2">
      <c r="B43" s="32" t="s">
        <v>344</v>
      </c>
      <c r="C43" s="19"/>
      <c r="D43" s="32" t="s">
        <v>310</v>
      </c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19"/>
    </row>
    <row r="44" spans="2:33" ht="18.600000000000001" customHeight="1" x14ac:dyDescent="0.2">
      <c r="B44" s="32" t="s">
        <v>345</v>
      </c>
      <c r="C44" s="19"/>
      <c r="D44" s="32" t="s">
        <v>310</v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19"/>
    </row>
    <row r="45" spans="2:33" ht="18.600000000000001" customHeight="1" x14ac:dyDescent="0.2">
      <c r="B45" s="32" t="s">
        <v>346</v>
      </c>
      <c r="C45" s="19"/>
      <c r="D45" s="32" t="s">
        <v>310</v>
      </c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19"/>
    </row>
    <row r="46" spans="2:33" ht="18.600000000000001" customHeight="1" x14ac:dyDescent="0.2">
      <c r="B46" s="32" t="s">
        <v>347</v>
      </c>
      <c r="C46" s="19"/>
      <c r="D46" s="32" t="s">
        <v>310</v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19"/>
    </row>
    <row r="47" spans="2:33" ht="18.600000000000001" customHeight="1" x14ac:dyDescent="0.2">
      <c r="B47" s="32" t="s">
        <v>348</v>
      </c>
      <c r="C47" s="19"/>
      <c r="D47" s="32" t="s">
        <v>310</v>
      </c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19"/>
    </row>
    <row r="48" spans="2:33" ht="18.600000000000001" customHeight="1" x14ac:dyDescent="0.2">
      <c r="B48" s="32" t="s">
        <v>349</v>
      </c>
      <c r="C48" s="19"/>
      <c r="D48" s="32" t="s">
        <v>310</v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19"/>
    </row>
    <row r="49" spans="2:33" ht="18.600000000000001" customHeight="1" x14ac:dyDescent="0.2">
      <c r="B49" s="32" t="s">
        <v>350</v>
      </c>
      <c r="C49" s="19"/>
      <c r="D49" s="32" t="s">
        <v>310</v>
      </c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19"/>
    </row>
    <row r="50" spans="2:33" ht="18.600000000000001" customHeight="1" x14ac:dyDescent="0.2">
      <c r="B50" s="32" t="s">
        <v>351</v>
      </c>
      <c r="C50" s="19"/>
      <c r="D50" s="32" t="s">
        <v>352</v>
      </c>
      <c r="E50" s="32" t="s">
        <v>673</v>
      </c>
      <c r="F50" s="32" t="s">
        <v>674</v>
      </c>
      <c r="G50" s="32" t="s">
        <v>675</v>
      </c>
      <c r="H50" s="32" t="s">
        <v>676</v>
      </c>
      <c r="I50" s="32" t="s">
        <v>677</v>
      </c>
      <c r="J50" s="32" t="s">
        <v>678</v>
      </c>
      <c r="K50" s="32" t="s">
        <v>679</v>
      </c>
      <c r="L50" s="32" t="s">
        <v>680</v>
      </c>
      <c r="M50" s="32" t="s">
        <v>681</v>
      </c>
      <c r="N50" s="32" t="s">
        <v>682</v>
      </c>
      <c r="O50" s="32" t="s">
        <v>683</v>
      </c>
      <c r="P50" s="32" t="s">
        <v>684</v>
      </c>
      <c r="Q50" s="32" t="s">
        <v>685</v>
      </c>
      <c r="R50" s="32" t="s">
        <v>686</v>
      </c>
      <c r="S50" s="32" t="s">
        <v>687</v>
      </c>
      <c r="T50" s="32" t="s">
        <v>688</v>
      </c>
      <c r="U50" s="32" t="s">
        <v>689</v>
      </c>
      <c r="V50" s="32" t="s">
        <v>690</v>
      </c>
      <c r="W50" s="32" t="s">
        <v>691</v>
      </c>
      <c r="X50" s="32" t="s">
        <v>692</v>
      </c>
      <c r="Y50" s="32" t="s">
        <v>693</v>
      </c>
      <c r="Z50" s="32" t="s">
        <v>694</v>
      </c>
      <c r="AA50" s="32" t="s">
        <v>695</v>
      </c>
      <c r="AB50" s="32" t="s">
        <v>696</v>
      </c>
      <c r="AC50" s="32" t="s">
        <v>697</v>
      </c>
      <c r="AD50" s="32" t="s">
        <v>698</v>
      </c>
      <c r="AE50" s="32" t="s">
        <v>699</v>
      </c>
      <c r="AF50" s="32" t="s">
        <v>700</v>
      </c>
      <c r="AG50" s="19"/>
    </row>
    <row r="51" spans="2:33" ht="18.600000000000001" customHeight="1" x14ac:dyDescent="0.2">
      <c r="B51" s="32" t="s">
        <v>353</v>
      </c>
      <c r="C51" s="19"/>
      <c r="D51" s="32" t="s">
        <v>354</v>
      </c>
      <c r="E51" s="32" t="s">
        <v>673</v>
      </c>
      <c r="F51" s="32" t="s">
        <v>674</v>
      </c>
      <c r="G51" s="32" t="s">
        <v>675</v>
      </c>
      <c r="H51" s="32" t="s">
        <v>676</v>
      </c>
      <c r="I51" s="32" t="s">
        <v>677</v>
      </c>
      <c r="J51" s="32" t="s">
        <v>678</v>
      </c>
      <c r="K51" s="32" t="s">
        <v>679</v>
      </c>
      <c r="L51" s="32" t="s">
        <v>680</v>
      </c>
      <c r="M51" s="32" t="s">
        <v>681</v>
      </c>
      <c r="N51" s="32" t="s">
        <v>682</v>
      </c>
      <c r="O51" s="32" t="s">
        <v>683</v>
      </c>
      <c r="P51" s="32" t="s">
        <v>684</v>
      </c>
      <c r="Q51" s="32" t="s">
        <v>685</v>
      </c>
      <c r="R51" s="32" t="s">
        <v>686</v>
      </c>
      <c r="S51" s="32" t="s">
        <v>687</v>
      </c>
      <c r="T51" s="32" t="s">
        <v>688</v>
      </c>
      <c r="U51" s="32" t="s">
        <v>689</v>
      </c>
      <c r="V51" s="32" t="s">
        <v>690</v>
      </c>
      <c r="W51" s="32" t="s">
        <v>691</v>
      </c>
      <c r="X51" s="32" t="s">
        <v>692</v>
      </c>
      <c r="Y51" s="32" t="s">
        <v>693</v>
      </c>
      <c r="Z51" s="32" t="s">
        <v>694</v>
      </c>
      <c r="AA51" s="32" t="s">
        <v>695</v>
      </c>
      <c r="AB51" s="32" t="s">
        <v>696</v>
      </c>
      <c r="AC51" s="32" t="s">
        <v>697</v>
      </c>
      <c r="AD51" s="32" t="s">
        <v>698</v>
      </c>
      <c r="AE51" s="32" t="s">
        <v>699</v>
      </c>
      <c r="AF51" s="32" t="s">
        <v>700</v>
      </c>
      <c r="AG51" s="19"/>
    </row>
    <row r="52" spans="2:33" ht="18.600000000000001" customHeight="1" x14ac:dyDescent="0.2">
      <c r="B52" s="32" t="s">
        <v>355</v>
      </c>
      <c r="C52" s="19"/>
      <c r="D52" s="32" t="s">
        <v>310</v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19"/>
    </row>
    <row r="53" spans="2:33" ht="18.600000000000001" customHeight="1" x14ac:dyDescent="0.2">
      <c r="B53" s="32" t="s">
        <v>356</v>
      </c>
      <c r="C53" s="19"/>
      <c r="D53" s="32" t="s">
        <v>352</v>
      </c>
      <c r="E53" s="32" t="s">
        <v>701</v>
      </c>
      <c r="F53" s="32" t="s">
        <v>702</v>
      </c>
      <c r="G53" s="32" t="s">
        <v>703</v>
      </c>
      <c r="H53" s="32" t="s">
        <v>704</v>
      </c>
      <c r="I53" s="32" t="s">
        <v>705</v>
      </c>
      <c r="J53" s="32" t="s">
        <v>706</v>
      </c>
      <c r="K53" s="32" t="s">
        <v>707</v>
      </c>
      <c r="L53" s="32" t="s">
        <v>357</v>
      </c>
      <c r="M53" s="32" t="s">
        <v>358</v>
      </c>
      <c r="N53" s="32" t="s">
        <v>359</v>
      </c>
      <c r="O53" s="32" t="s">
        <v>360</v>
      </c>
      <c r="P53" s="32" t="s">
        <v>361</v>
      </c>
      <c r="Q53" s="32" t="s">
        <v>362</v>
      </c>
      <c r="R53" s="32" t="s">
        <v>363</v>
      </c>
      <c r="S53" s="32" t="s">
        <v>708</v>
      </c>
      <c r="T53" s="32" t="s">
        <v>709</v>
      </c>
      <c r="U53" s="32" t="s">
        <v>710</v>
      </c>
      <c r="V53" s="32" t="s">
        <v>711</v>
      </c>
      <c r="W53" s="32" t="s">
        <v>712</v>
      </c>
      <c r="X53" s="32" t="s">
        <v>713</v>
      </c>
      <c r="Y53" s="32" t="s">
        <v>714</v>
      </c>
      <c r="Z53" s="32" t="s">
        <v>364</v>
      </c>
      <c r="AA53" s="32" t="s">
        <v>365</v>
      </c>
      <c r="AB53" s="32" t="s">
        <v>366</v>
      </c>
      <c r="AC53" s="32" t="s">
        <v>367</v>
      </c>
      <c r="AD53" s="32" t="s">
        <v>368</v>
      </c>
      <c r="AE53" s="32" t="s">
        <v>369</v>
      </c>
      <c r="AF53" s="32" t="s">
        <v>370</v>
      </c>
      <c r="AG53" s="19"/>
    </row>
    <row r="54" spans="2:33" ht="18.600000000000001" customHeight="1" x14ac:dyDescent="0.2">
      <c r="B54" s="32" t="s">
        <v>371</v>
      </c>
      <c r="C54" s="19"/>
      <c r="D54" s="32" t="s">
        <v>354</v>
      </c>
      <c r="E54" s="32" t="s">
        <v>701</v>
      </c>
      <c r="F54" s="32" t="s">
        <v>702</v>
      </c>
      <c r="G54" s="32" t="s">
        <v>703</v>
      </c>
      <c r="H54" s="32" t="s">
        <v>704</v>
      </c>
      <c r="I54" s="32" t="s">
        <v>705</v>
      </c>
      <c r="J54" s="32" t="s">
        <v>706</v>
      </c>
      <c r="K54" s="32" t="s">
        <v>707</v>
      </c>
      <c r="L54" s="32" t="s">
        <v>357</v>
      </c>
      <c r="M54" s="32" t="s">
        <v>358</v>
      </c>
      <c r="N54" s="32" t="s">
        <v>359</v>
      </c>
      <c r="O54" s="32" t="s">
        <v>360</v>
      </c>
      <c r="P54" s="32" t="s">
        <v>361</v>
      </c>
      <c r="Q54" s="32" t="s">
        <v>362</v>
      </c>
      <c r="R54" s="32" t="s">
        <v>363</v>
      </c>
      <c r="S54" s="32" t="s">
        <v>708</v>
      </c>
      <c r="T54" s="32" t="s">
        <v>709</v>
      </c>
      <c r="U54" s="32" t="s">
        <v>710</v>
      </c>
      <c r="V54" s="32" t="s">
        <v>711</v>
      </c>
      <c r="W54" s="32" t="s">
        <v>712</v>
      </c>
      <c r="X54" s="32" t="s">
        <v>713</v>
      </c>
      <c r="Y54" s="32" t="s">
        <v>714</v>
      </c>
      <c r="Z54" s="32" t="s">
        <v>364</v>
      </c>
      <c r="AA54" s="32" t="s">
        <v>365</v>
      </c>
      <c r="AB54" s="32" t="s">
        <v>366</v>
      </c>
      <c r="AC54" s="32" t="s">
        <v>367</v>
      </c>
      <c r="AD54" s="32" t="s">
        <v>368</v>
      </c>
      <c r="AE54" s="32" t="s">
        <v>369</v>
      </c>
      <c r="AF54" s="32" t="s">
        <v>370</v>
      </c>
      <c r="AG54" s="19"/>
    </row>
    <row r="55" spans="2:33" ht="18.600000000000001" customHeight="1" x14ac:dyDescent="0.2">
      <c r="B55" s="32" t="s">
        <v>372</v>
      </c>
      <c r="C55" s="19"/>
      <c r="D55" s="32" t="s">
        <v>310</v>
      </c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19"/>
    </row>
    <row r="56" spans="2:33" ht="18.600000000000001" customHeight="1" x14ac:dyDescent="0.2">
      <c r="B56" s="32" t="s">
        <v>373</v>
      </c>
      <c r="C56" s="19"/>
      <c r="D56" s="32" t="s">
        <v>352</v>
      </c>
      <c r="E56" s="32" t="s">
        <v>716</v>
      </c>
      <c r="F56" s="32" t="s">
        <v>357</v>
      </c>
      <c r="G56" s="32" t="s">
        <v>357</v>
      </c>
      <c r="H56" s="32" t="s">
        <v>357</v>
      </c>
      <c r="I56" s="32" t="s">
        <v>357</v>
      </c>
      <c r="J56" s="32" t="s">
        <v>357</v>
      </c>
      <c r="K56" s="32" t="s">
        <v>357</v>
      </c>
      <c r="L56" s="32" t="s">
        <v>357</v>
      </c>
      <c r="M56" s="32" t="s">
        <v>357</v>
      </c>
      <c r="N56" s="32" t="s">
        <v>357</v>
      </c>
      <c r="O56" s="32" t="s">
        <v>357</v>
      </c>
      <c r="P56" s="32" t="s">
        <v>357</v>
      </c>
      <c r="Q56" s="32" t="s">
        <v>357</v>
      </c>
      <c r="R56" s="32" t="s">
        <v>357</v>
      </c>
      <c r="S56" s="32" t="s">
        <v>357</v>
      </c>
      <c r="T56" s="32" t="s">
        <v>357</v>
      </c>
      <c r="U56" s="32" t="s">
        <v>357</v>
      </c>
      <c r="V56" s="32" t="s">
        <v>357</v>
      </c>
      <c r="W56" s="32" t="s">
        <v>357</v>
      </c>
      <c r="X56" s="32" t="s">
        <v>357</v>
      </c>
      <c r="Y56" s="32" t="s">
        <v>357</v>
      </c>
      <c r="Z56" s="32" t="s">
        <v>357</v>
      </c>
      <c r="AA56" s="32" t="s">
        <v>357</v>
      </c>
      <c r="AB56" s="32" t="s">
        <v>357</v>
      </c>
      <c r="AC56" s="32" t="s">
        <v>357</v>
      </c>
      <c r="AD56" s="32" t="s">
        <v>357</v>
      </c>
      <c r="AE56" s="32" t="s">
        <v>357</v>
      </c>
      <c r="AF56" s="32" t="s">
        <v>357</v>
      </c>
      <c r="AG56" s="19"/>
    </row>
    <row r="57" spans="2:33" ht="18.600000000000001" customHeight="1" x14ac:dyDescent="0.2">
      <c r="B57" s="32" t="s">
        <v>374</v>
      </c>
      <c r="C57" s="19"/>
      <c r="D57" s="32" t="s">
        <v>354</v>
      </c>
      <c r="E57" s="32" t="s">
        <v>716</v>
      </c>
      <c r="F57" s="32" t="s">
        <v>357</v>
      </c>
      <c r="G57" s="32" t="s">
        <v>357</v>
      </c>
      <c r="H57" s="32" t="s">
        <v>357</v>
      </c>
      <c r="I57" s="32" t="s">
        <v>357</v>
      </c>
      <c r="J57" s="32" t="s">
        <v>357</v>
      </c>
      <c r="K57" s="32" t="s">
        <v>357</v>
      </c>
      <c r="L57" s="32" t="s">
        <v>357</v>
      </c>
      <c r="M57" s="32" t="s">
        <v>357</v>
      </c>
      <c r="N57" s="32" t="s">
        <v>357</v>
      </c>
      <c r="O57" s="32" t="s">
        <v>357</v>
      </c>
      <c r="P57" s="32" t="s">
        <v>357</v>
      </c>
      <c r="Q57" s="32" t="s">
        <v>357</v>
      </c>
      <c r="R57" s="32" t="s">
        <v>357</v>
      </c>
      <c r="S57" s="32" t="s">
        <v>357</v>
      </c>
      <c r="T57" s="32" t="s">
        <v>357</v>
      </c>
      <c r="U57" s="32" t="s">
        <v>357</v>
      </c>
      <c r="V57" s="32" t="s">
        <v>357</v>
      </c>
      <c r="W57" s="32" t="s">
        <v>357</v>
      </c>
      <c r="X57" s="32" t="s">
        <v>357</v>
      </c>
      <c r="Y57" s="32" t="s">
        <v>357</v>
      </c>
      <c r="Z57" s="32" t="s">
        <v>357</v>
      </c>
      <c r="AA57" s="32" t="s">
        <v>357</v>
      </c>
      <c r="AB57" s="32" t="s">
        <v>357</v>
      </c>
      <c r="AC57" s="32" t="s">
        <v>357</v>
      </c>
      <c r="AD57" s="32" t="s">
        <v>357</v>
      </c>
      <c r="AE57" s="32" t="s">
        <v>357</v>
      </c>
      <c r="AF57" s="32" t="s">
        <v>357</v>
      </c>
      <c r="AG57" s="19"/>
    </row>
    <row r="58" spans="2:33" ht="18.600000000000001" customHeight="1" x14ac:dyDescent="0.2">
      <c r="B58" s="32" t="s">
        <v>375</v>
      </c>
      <c r="C58" s="19"/>
      <c r="D58" s="32" t="s">
        <v>310</v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19"/>
    </row>
    <row r="59" spans="2:33" ht="18.600000000000001" customHeight="1" x14ac:dyDescent="0.2">
      <c r="B59" s="32" t="s">
        <v>376</v>
      </c>
      <c r="C59" s="19"/>
      <c r="D59" s="32" t="s">
        <v>352</v>
      </c>
      <c r="E59" s="32" t="s">
        <v>715</v>
      </c>
      <c r="F59" s="32" t="s">
        <v>357</v>
      </c>
      <c r="G59" s="32" t="s">
        <v>357</v>
      </c>
      <c r="H59" s="32" t="s">
        <v>357</v>
      </c>
      <c r="I59" s="32" t="s">
        <v>357</v>
      </c>
      <c r="J59" s="32" t="s">
        <v>357</v>
      </c>
      <c r="K59" s="32" t="s">
        <v>357</v>
      </c>
      <c r="L59" s="32" t="s">
        <v>357</v>
      </c>
      <c r="M59" s="32" t="s">
        <v>357</v>
      </c>
      <c r="N59" s="32" t="s">
        <v>357</v>
      </c>
      <c r="O59" s="32" t="s">
        <v>357</v>
      </c>
      <c r="P59" s="32" t="s">
        <v>357</v>
      </c>
      <c r="Q59" s="32" t="s">
        <v>357</v>
      </c>
      <c r="R59" s="32" t="s">
        <v>357</v>
      </c>
      <c r="S59" s="32" t="s">
        <v>357</v>
      </c>
      <c r="T59" s="32" t="s">
        <v>357</v>
      </c>
      <c r="U59" s="32" t="s">
        <v>357</v>
      </c>
      <c r="V59" s="32" t="s">
        <v>357</v>
      </c>
      <c r="W59" s="32" t="s">
        <v>357</v>
      </c>
      <c r="X59" s="32" t="s">
        <v>357</v>
      </c>
      <c r="Y59" s="32" t="s">
        <v>357</v>
      </c>
      <c r="Z59" s="32" t="s">
        <v>357</v>
      </c>
      <c r="AA59" s="32" t="s">
        <v>357</v>
      </c>
      <c r="AB59" s="32" t="s">
        <v>357</v>
      </c>
      <c r="AC59" s="32" t="s">
        <v>357</v>
      </c>
      <c r="AD59" s="32" t="s">
        <v>357</v>
      </c>
      <c r="AE59" s="32" t="s">
        <v>357</v>
      </c>
      <c r="AF59" s="32" t="s">
        <v>357</v>
      </c>
      <c r="AG59" s="19"/>
    </row>
    <row r="60" spans="2:33" ht="18.600000000000001" customHeight="1" x14ac:dyDescent="0.2">
      <c r="B60" s="32" t="s">
        <v>377</v>
      </c>
      <c r="C60" s="19"/>
      <c r="D60" s="32" t="s">
        <v>354</v>
      </c>
      <c r="E60" s="32" t="s">
        <v>715</v>
      </c>
      <c r="F60" s="32" t="s">
        <v>357</v>
      </c>
      <c r="G60" s="32" t="s">
        <v>357</v>
      </c>
      <c r="H60" s="32" t="s">
        <v>357</v>
      </c>
      <c r="I60" s="32" t="s">
        <v>357</v>
      </c>
      <c r="J60" s="32" t="s">
        <v>357</v>
      </c>
      <c r="K60" s="32" t="s">
        <v>357</v>
      </c>
      <c r="L60" s="32" t="s">
        <v>357</v>
      </c>
      <c r="M60" s="32" t="s">
        <v>357</v>
      </c>
      <c r="N60" s="32" t="s">
        <v>357</v>
      </c>
      <c r="O60" s="32" t="s">
        <v>357</v>
      </c>
      <c r="P60" s="32" t="s">
        <v>357</v>
      </c>
      <c r="Q60" s="32" t="s">
        <v>357</v>
      </c>
      <c r="R60" s="32" t="s">
        <v>357</v>
      </c>
      <c r="S60" s="32" t="s">
        <v>357</v>
      </c>
      <c r="T60" s="32" t="s">
        <v>357</v>
      </c>
      <c r="U60" s="32" t="s">
        <v>357</v>
      </c>
      <c r="V60" s="32" t="s">
        <v>357</v>
      </c>
      <c r="W60" s="32" t="s">
        <v>357</v>
      </c>
      <c r="X60" s="32" t="s">
        <v>357</v>
      </c>
      <c r="Y60" s="32" t="s">
        <v>357</v>
      </c>
      <c r="Z60" s="32" t="s">
        <v>357</v>
      </c>
      <c r="AA60" s="32" t="s">
        <v>357</v>
      </c>
      <c r="AB60" s="32" t="s">
        <v>357</v>
      </c>
      <c r="AC60" s="32" t="s">
        <v>357</v>
      </c>
      <c r="AD60" s="32" t="s">
        <v>357</v>
      </c>
      <c r="AE60" s="32" t="s">
        <v>357</v>
      </c>
      <c r="AF60" s="32" t="s">
        <v>357</v>
      </c>
      <c r="AG60" s="19"/>
    </row>
    <row r="61" spans="2:33" ht="18.600000000000001" customHeight="1" x14ac:dyDescent="0.2">
      <c r="B61" s="32" t="s">
        <v>378</v>
      </c>
      <c r="C61" s="19"/>
      <c r="D61" s="32" t="s">
        <v>213</v>
      </c>
      <c r="E61" s="32" t="s">
        <v>717</v>
      </c>
      <c r="F61" s="32" t="s">
        <v>718</v>
      </c>
      <c r="G61" s="32" t="s">
        <v>719</v>
      </c>
      <c r="H61" s="32" t="s">
        <v>720</v>
      </c>
      <c r="I61" s="32" t="s">
        <v>721</v>
      </c>
      <c r="J61" s="32" t="s">
        <v>722</v>
      </c>
      <c r="K61" s="32" t="s">
        <v>723</v>
      </c>
      <c r="L61" s="32" t="s">
        <v>724</v>
      </c>
      <c r="M61" s="32" t="s">
        <v>725</v>
      </c>
      <c r="N61" s="32" t="s">
        <v>726</v>
      </c>
      <c r="O61" s="32" t="s">
        <v>727</v>
      </c>
      <c r="P61" s="32" t="s">
        <v>728</v>
      </c>
      <c r="Q61" s="32" t="s">
        <v>729</v>
      </c>
      <c r="R61" s="32" t="s">
        <v>730</v>
      </c>
      <c r="S61" s="32" t="s">
        <v>731</v>
      </c>
      <c r="T61" s="32" t="s">
        <v>732</v>
      </c>
      <c r="U61" s="32" t="s">
        <v>733</v>
      </c>
      <c r="V61" s="32" t="s">
        <v>734</v>
      </c>
      <c r="W61" s="32" t="s">
        <v>735</v>
      </c>
      <c r="X61" s="32" t="s">
        <v>736</v>
      </c>
      <c r="Y61" s="32" t="s">
        <v>737</v>
      </c>
      <c r="Z61" s="32" t="s">
        <v>738</v>
      </c>
      <c r="AA61" s="32" t="s">
        <v>739</v>
      </c>
      <c r="AB61" s="32" t="s">
        <v>740</v>
      </c>
      <c r="AC61" s="32" t="s">
        <v>741</v>
      </c>
      <c r="AD61" s="32" t="s">
        <v>742</v>
      </c>
      <c r="AE61" s="32" t="s">
        <v>743</v>
      </c>
      <c r="AF61" s="32" t="s">
        <v>744</v>
      </c>
      <c r="AG61" s="19"/>
    </row>
    <row r="62" spans="2:33" ht="18.600000000000001" customHeight="1" x14ac:dyDescent="0.2">
      <c r="B62" s="32" t="s">
        <v>379</v>
      </c>
      <c r="C62" s="19"/>
      <c r="D62" s="32" t="s">
        <v>213</v>
      </c>
      <c r="E62" s="32" t="s">
        <v>745</v>
      </c>
      <c r="F62" s="32" t="s">
        <v>746</v>
      </c>
      <c r="G62" s="32" t="s">
        <v>747</v>
      </c>
      <c r="H62" s="32" t="s">
        <v>748</v>
      </c>
      <c r="I62" s="32" t="s">
        <v>749</v>
      </c>
      <c r="J62" s="32" t="s">
        <v>750</v>
      </c>
      <c r="K62" s="32" t="s">
        <v>751</v>
      </c>
      <c r="L62" s="32" t="s">
        <v>752</v>
      </c>
      <c r="M62" s="32" t="s">
        <v>753</v>
      </c>
      <c r="N62" s="32" t="s">
        <v>754</v>
      </c>
      <c r="O62" s="32" t="s">
        <v>755</v>
      </c>
      <c r="P62" s="32" t="s">
        <v>756</v>
      </c>
      <c r="Q62" s="32" t="s">
        <v>757</v>
      </c>
      <c r="R62" s="32" t="s">
        <v>758</v>
      </c>
      <c r="S62" s="32" t="s">
        <v>759</v>
      </c>
      <c r="T62" s="32" t="s">
        <v>760</v>
      </c>
      <c r="U62" s="32" t="s">
        <v>761</v>
      </c>
      <c r="V62" s="32" t="s">
        <v>762</v>
      </c>
      <c r="W62" s="32" t="s">
        <v>763</v>
      </c>
      <c r="X62" s="32" t="s">
        <v>764</v>
      </c>
      <c r="Y62" s="32" t="s">
        <v>765</v>
      </c>
      <c r="Z62" s="32" t="s">
        <v>766</v>
      </c>
      <c r="AA62" s="32" t="s">
        <v>767</v>
      </c>
      <c r="AB62" s="32" t="s">
        <v>768</v>
      </c>
      <c r="AC62" s="32" t="s">
        <v>769</v>
      </c>
      <c r="AD62" s="32" t="s">
        <v>770</v>
      </c>
      <c r="AE62" s="32" t="s">
        <v>771</v>
      </c>
      <c r="AF62" s="32" t="s">
        <v>772</v>
      </c>
      <c r="AG62" s="19"/>
    </row>
    <row r="63" spans="2:33" ht="18.600000000000001" customHeight="1" x14ac:dyDescent="0.2">
      <c r="B63" s="32" t="s">
        <v>380</v>
      </c>
      <c r="C63" s="19"/>
      <c r="D63" s="32" t="s">
        <v>213</v>
      </c>
      <c r="E63" s="32" t="s">
        <v>773</v>
      </c>
      <c r="F63" s="32" t="s">
        <v>774</v>
      </c>
      <c r="G63" s="32" t="s">
        <v>775</v>
      </c>
      <c r="H63" s="32" t="s">
        <v>776</v>
      </c>
      <c r="I63" s="32" t="s">
        <v>777</v>
      </c>
      <c r="J63" s="32" t="s">
        <v>778</v>
      </c>
      <c r="K63" s="32" t="s">
        <v>779</v>
      </c>
      <c r="L63" s="32" t="s">
        <v>780</v>
      </c>
      <c r="M63" s="32" t="s">
        <v>781</v>
      </c>
      <c r="N63" s="32" t="s">
        <v>782</v>
      </c>
      <c r="O63" s="32" t="s">
        <v>783</v>
      </c>
      <c r="P63" s="32" t="s">
        <v>784</v>
      </c>
      <c r="Q63" s="32" t="s">
        <v>785</v>
      </c>
      <c r="R63" s="32" t="s">
        <v>786</v>
      </c>
      <c r="S63" s="32" t="s">
        <v>787</v>
      </c>
      <c r="T63" s="32" t="s">
        <v>788</v>
      </c>
      <c r="U63" s="32" t="s">
        <v>789</v>
      </c>
      <c r="V63" s="32" t="s">
        <v>790</v>
      </c>
      <c r="W63" s="32" t="s">
        <v>791</v>
      </c>
      <c r="X63" s="32" t="s">
        <v>792</v>
      </c>
      <c r="Y63" s="32" t="s">
        <v>793</v>
      </c>
      <c r="Z63" s="32" t="s">
        <v>794</v>
      </c>
      <c r="AA63" s="32" t="s">
        <v>795</v>
      </c>
      <c r="AB63" s="32" t="s">
        <v>796</v>
      </c>
      <c r="AC63" s="32" t="s">
        <v>797</v>
      </c>
      <c r="AD63" s="32" t="s">
        <v>798</v>
      </c>
      <c r="AE63" s="32" t="s">
        <v>799</v>
      </c>
      <c r="AF63" s="32" t="s">
        <v>800</v>
      </c>
      <c r="AG63" s="19"/>
    </row>
    <row r="64" spans="2:33" ht="18.600000000000001" customHeight="1" x14ac:dyDescent="0.2">
      <c r="B64" s="32" t="s">
        <v>381</v>
      </c>
      <c r="C64" s="19"/>
      <c r="D64" s="32" t="s">
        <v>213</v>
      </c>
      <c r="E64" s="32" t="s">
        <v>801</v>
      </c>
      <c r="F64" s="32" t="s">
        <v>802</v>
      </c>
      <c r="G64" s="32" t="s">
        <v>803</v>
      </c>
      <c r="H64" s="32" t="s">
        <v>804</v>
      </c>
      <c r="I64" s="32" t="s">
        <v>805</v>
      </c>
      <c r="J64" s="32" t="s">
        <v>806</v>
      </c>
      <c r="K64" s="32" t="s">
        <v>807</v>
      </c>
      <c r="L64" s="32" t="s">
        <v>808</v>
      </c>
      <c r="M64" s="32" t="s">
        <v>809</v>
      </c>
      <c r="N64" s="32" t="s">
        <v>810</v>
      </c>
      <c r="O64" s="32" t="s">
        <v>811</v>
      </c>
      <c r="P64" s="32" t="s">
        <v>812</v>
      </c>
      <c r="Q64" s="32" t="s">
        <v>813</v>
      </c>
      <c r="R64" s="32" t="s">
        <v>814</v>
      </c>
      <c r="S64" s="32" t="s">
        <v>815</v>
      </c>
      <c r="T64" s="32" t="s">
        <v>816</v>
      </c>
      <c r="U64" s="32" t="s">
        <v>817</v>
      </c>
      <c r="V64" s="32" t="s">
        <v>818</v>
      </c>
      <c r="W64" s="32" t="s">
        <v>819</v>
      </c>
      <c r="X64" s="32" t="s">
        <v>820</v>
      </c>
      <c r="Y64" s="32" t="s">
        <v>821</v>
      </c>
      <c r="Z64" s="32" t="s">
        <v>822</v>
      </c>
      <c r="AA64" s="32" t="s">
        <v>823</v>
      </c>
      <c r="AB64" s="32" t="s">
        <v>824</v>
      </c>
      <c r="AC64" s="32" t="s">
        <v>825</v>
      </c>
      <c r="AD64" s="32" t="s">
        <v>826</v>
      </c>
      <c r="AE64" s="32" t="s">
        <v>827</v>
      </c>
      <c r="AF64" s="32" t="s">
        <v>828</v>
      </c>
      <c r="AG64" s="19"/>
    </row>
    <row r="65" spans="2:33" ht="18.600000000000001" customHeight="1" x14ac:dyDescent="0.2">
      <c r="B65" s="32" t="s">
        <v>382</v>
      </c>
      <c r="C65" s="19"/>
      <c r="D65" s="32" t="s">
        <v>213</v>
      </c>
      <c r="E65" s="32" t="s">
        <v>829</v>
      </c>
      <c r="F65" s="32" t="s">
        <v>830</v>
      </c>
      <c r="G65" s="32" t="s">
        <v>831</v>
      </c>
      <c r="H65" s="32" t="s">
        <v>832</v>
      </c>
      <c r="I65" s="32" t="s">
        <v>833</v>
      </c>
      <c r="J65" s="32" t="s">
        <v>834</v>
      </c>
      <c r="K65" s="32" t="s">
        <v>835</v>
      </c>
      <c r="L65" s="32" t="s">
        <v>836</v>
      </c>
      <c r="M65" s="32" t="s">
        <v>837</v>
      </c>
      <c r="N65" s="32" t="s">
        <v>838</v>
      </c>
      <c r="O65" s="32" t="s">
        <v>839</v>
      </c>
      <c r="P65" s="32" t="s">
        <v>840</v>
      </c>
      <c r="Q65" s="32" t="s">
        <v>841</v>
      </c>
      <c r="R65" s="32" t="s">
        <v>842</v>
      </c>
      <c r="S65" s="32" t="s">
        <v>843</v>
      </c>
      <c r="T65" s="32" t="s">
        <v>844</v>
      </c>
      <c r="U65" s="32" t="s">
        <v>845</v>
      </c>
      <c r="V65" s="32" t="s">
        <v>846</v>
      </c>
      <c r="W65" s="32" t="s">
        <v>847</v>
      </c>
      <c r="X65" s="32" t="s">
        <v>848</v>
      </c>
      <c r="Y65" s="32" t="s">
        <v>849</v>
      </c>
      <c r="Z65" s="32" t="s">
        <v>850</v>
      </c>
      <c r="AA65" s="32" t="s">
        <v>851</v>
      </c>
      <c r="AB65" s="32" t="s">
        <v>852</v>
      </c>
      <c r="AC65" s="32" t="s">
        <v>853</v>
      </c>
      <c r="AD65" s="32" t="s">
        <v>854</v>
      </c>
      <c r="AE65" s="32" t="s">
        <v>855</v>
      </c>
      <c r="AF65" s="32" t="s">
        <v>856</v>
      </c>
      <c r="AG65" s="19"/>
    </row>
    <row r="66" spans="2:33" ht="18.600000000000001" customHeight="1" x14ac:dyDescent="0.2">
      <c r="B66" s="32" t="s">
        <v>383</v>
      </c>
      <c r="C66" s="19"/>
      <c r="D66" s="32" t="s">
        <v>213</v>
      </c>
      <c r="E66" s="32" t="s">
        <v>857</v>
      </c>
      <c r="F66" s="32" t="s">
        <v>858</v>
      </c>
      <c r="G66" s="32" t="s">
        <v>859</v>
      </c>
      <c r="H66" s="32" t="s">
        <v>860</v>
      </c>
      <c r="I66" s="32" t="s">
        <v>861</v>
      </c>
      <c r="J66" s="32" t="s">
        <v>862</v>
      </c>
      <c r="K66" s="32" t="s">
        <v>863</v>
      </c>
      <c r="L66" s="32" t="s">
        <v>864</v>
      </c>
      <c r="M66" s="32" t="s">
        <v>865</v>
      </c>
      <c r="N66" s="32" t="s">
        <v>866</v>
      </c>
      <c r="O66" s="32" t="s">
        <v>867</v>
      </c>
      <c r="P66" s="32" t="s">
        <v>868</v>
      </c>
      <c r="Q66" s="32" t="s">
        <v>869</v>
      </c>
      <c r="R66" s="32" t="s">
        <v>870</v>
      </c>
      <c r="S66" s="32" t="s">
        <v>871</v>
      </c>
      <c r="T66" s="32" t="s">
        <v>872</v>
      </c>
      <c r="U66" s="32" t="s">
        <v>873</v>
      </c>
      <c r="V66" s="32" t="s">
        <v>874</v>
      </c>
      <c r="W66" s="32" t="s">
        <v>875</v>
      </c>
      <c r="X66" s="32" t="s">
        <v>876</v>
      </c>
      <c r="Y66" s="32" t="s">
        <v>877</v>
      </c>
      <c r="Z66" s="32" t="s">
        <v>878</v>
      </c>
      <c r="AA66" s="32" t="s">
        <v>879</v>
      </c>
      <c r="AB66" s="32" t="s">
        <v>880</v>
      </c>
      <c r="AC66" s="32" t="s">
        <v>881</v>
      </c>
      <c r="AD66" s="32" t="s">
        <v>882</v>
      </c>
      <c r="AE66" s="32" t="s">
        <v>883</v>
      </c>
      <c r="AF66" s="32" t="s">
        <v>884</v>
      </c>
      <c r="AG66" s="19"/>
    </row>
    <row r="67" spans="2:33" ht="18.600000000000001" customHeight="1" x14ac:dyDescent="0.2">
      <c r="B67" s="32" t="s">
        <v>384</v>
      </c>
      <c r="C67" s="19"/>
      <c r="D67" s="32" t="s">
        <v>213</v>
      </c>
      <c r="E67" s="32" t="s">
        <v>885</v>
      </c>
      <c r="F67" s="32" t="s">
        <v>886</v>
      </c>
      <c r="G67" s="32" t="s">
        <v>887</v>
      </c>
      <c r="H67" s="32" t="s">
        <v>888</v>
      </c>
      <c r="I67" s="32" t="s">
        <v>889</v>
      </c>
      <c r="J67" s="32" t="s">
        <v>890</v>
      </c>
      <c r="K67" s="32" t="s">
        <v>891</v>
      </c>
      <c r="L67" s="32" t="s">
        <v>892</v>
      </c>
      <c r="M67" s="32" t="s">
        <v>893</v>
      </c>
      <c r="N67" s="32" t="s">
        <v>894</v>
      </c>
      <c r="O67" s="32" t="s">
        <v>895</v>
      </c>
      <c r="P67" s="32" t="s">
        <v>896</v>
      </c>
      <c r="Q67" s="32" t="s">
        <v>897</v>
      </c>
      <c r="R67" s="32" t="s">
        <v>898</v>
      </c>
      <c r="S67" s="32" t="s">
        <v>899</v>
      </c>
      <c r="T67" s="32" t="s">
        <v>900</v>
      </c>
      <c r="U67" s="32" t="s">
        <v>901</v>
      </c>
      <c r="V67" s="32" t="s">
        <v>902</v>
      </c>
      <c r="W67" s="32" t="s">
        <v>903</v>
      </c>
      <c r="X67" s="32" t="s">
        <v>904</v>
      </c>
      <c r="Y67" s="32" t="s">
        <v>905</v>
      </c>
      <c r="Z67" s="32" t="s">
        <v>906</v>
      </c>
      <c r="AA67" s="32" t="s">
        <v>907</v>
      </c>
      <c r="AB67" s="32" t="s">
        <v>908</v>
      </c>
      <c r="AC67" s="32" t="s">
        <v>909</v>
      </c>
      <c r="AD67" s="32" t="s">
        <v>910</v>
      </c>
      <c r="AE67" s="32" t="s">
        <v>911</v>
      </c>
      <c r="AF67" s="32" t="s">
        <v>912</v>
      </c>
      <c r="AG67" s="19"/>
    </row>
    <row r="68" spans="2:33" ht="18.600000000000001" customHeight="1" x14ac:dyDescent="0.2">
      <c r="B68" s="32" t="s">
        <v>385</v>
      </c>
      <c r="C68" s="19"/>
      <c r="D68" s="32" t="s">
        <v>213</v>
      </c>
      <c r="E68" s="32" t="s">
        <v>913</v>
      </c>
      <c r="F68" s="32" t="s">
        <v>914</v>
      </c>
      <c r="G68" s="32" t="s">
        <v>915</v>
      </c>
      <c r="H68" s="32" t="s">
        <v>916</v>
      </c>
      <c r="I68" s="32" t="s">
        <v>917</v>
      </c>
      <c r="J68" s="32" t="s">
        <v>918</v>
      </c>
      <c r="K68" s="32" t="s">
        <v>919</v>
      </c>
      <c r="L68" s="32" t="s">
        <v>920</v>
      </c>
      <c r="M68" s="32" t="s">
        <v>921</v>
      </c>
      <c r="N68" s="32" t="s">
        <v>922</v>
      </c>
      <c r="O68" s="32" t="s">
        <v>923</v>
      </c>
      <c r="P68" s="32" t="s">
        <v>924</v>
      </c>
      <c r="Q68" s="32" t="s">
        <v>925</v>
      </c>
      <c r="R68" s="32" t="s">
        <v>926</v>
      </c>
      <c r="S68" s="32" t="s">
        <v>927</v>
      </c>
      <c r="T68" s="32" t="s">
        <v>928</v>
      </c>
      <c r="U68" s="32" t="s">
        <v>929</v>
      </c>
      <c r="V68" s="32" t="s">
        <v>930</v>
      </c>
      <c r="W68" s="32" t="s">
        <v>931</v>
      </c>
      <c r="X68" s="32" t="s">
        <v>932</v>
      </c>
      <c r="Y68" s="32" t="s">
        <v>933</v>
      </c>
      <c r="Z68" s="32" t="s">
        <v>934</v>
      </c>
      <c r="AA68" s="32" t="s">
        <v>935</v>
      </c>
      <c r="AB68" s="32" t="s">
        <v>936</v>
      </c>
      <c r="AC68" s="32" t="s">
        <v>937</v>
      </c>
      <c r="AD68" s="32" t="s">
        <v>938</v>
      </c>
      <c r="AE68" s="32" t="s">
        <v>939</v>
      </c>
      <c r="AF68" s="32" t="s">
        <v>940</v>
      </c>
      <c r="AG68" s="19"/>
    </row>
    <row r="69" spans="2:33" ht="18.600000000000001" customHeight="1" x14ac:dyDescent="0.2">
      <c r="B69" s="32" t="s">
        <v>386</v>
      </c>
      <c r="C69" s="19"/>
      <c r="D69" s="32" t="s">
        <v>213</v>
      </c>
      <c r="E69" s="32" t="s">
        <v>941</v>
      </c>
      <c r="F69" s="32" t="s">
        <v>942</v>
      </c>
      <c r="G69" s="32" t="s">
        <v>943</v>
      </c>
      <c r="H69" s="32" t="s">
        <v>944</v>
      </c>
      <c r="I69" s="32" t="s">
        <v>945</v>
      </c>
      <c r="J69" s="32" t="s">
        <v>946</v>
      </c>
      <c r="K69" s="32" t="s">
        <v>947</v>
      </c>
      <c r="L69" s="32" t="s">
        <v>948</v>
      </c>
      <c r="M69" s="32" t="s">
        <v>949</v>
      </c>
      <c r="N69" s="32" t="s">
        <v>950</v>
      </c>
      <c r="O69" s="32" t="s">
        <v>951</v>
      </c>
      <c r="P69" s="32" t="s">
        <v>952</v>
      </c>
      <c r="Q69" s="32" t="s">
        <v>953</v>
      </c>
      <c r="R69" s="32" t="s">
        <v>954</v>
      </c>
      <c r="S69" s="32" t="s">
        <v>955</v>
      </c>
      <c r="T69" s="32" t="s">
        <v>956</v>
      </c>
      <c r="U69" s="32" t="s">
        <v>957</v>
      </c>
      <c r="V69" s="32" t="s">
        <v>958</v>
      </c>
      <c r="W69" s="32" t="s">
        <v>959</v>
      </c>
      <c r="X69" s="32" t="s">
        <v>960</v>
      </c>
      <c r="Y69" s="32" t="s">
        <v>961</v>
      </c>
      <c r="Z69" s="32" t="s">
        <v>962</v>
      </c>
      <c r="AA69" s="32" t="s">
        <v>963</v>
      </c>
      <c r="AB69" s="32" t="s">
        <v>964</v>
      </c>
      <c r="AC69" s="32" t="s">
        <v>965</v>
      </c>
      <c r="AD69" s="32" t="s">
        <v>966</v>
      </c>
      <c r="AE69" s="32" t="s">
        <v>967</v>
      </c>
      <c r="AF69" s="32" t="s">
        <v>968</v>
      </c>
      <c r="AG69" s="19"/>
    </row>
    <row r="70" spans="2:33" ht="18.600000000000001" customHeight="1" x14ac:dyDescent="0.2">
      <c r="B70" s="32" t="s">
        <v>387</v>
      </c>
      <c r="C70" s="19"/>
      <c r="D70" s="32" t="s">
        <v>213</v>
      </c>
      <c r="E70" s="32" t="s">
        <v>969</v>
      </c>
      <c r="F70" s="32" t="s">
        <v>970</v>
      </c>
      <c r="G70" s="32" t="s">
        <v>971</v>
      </c>
      <c r="H70" s="32" t="s">
        <v>972</v>
      </c>
      <c r="I70" s="32" t="s">
        <v>973</v>
      </c>
      <c r="J70" s="32" t="s">
        <v>974</v>
      </c>
      <c r="K70" s="32" t="s">
        <v>975</v>
      </c>
      <c r="L70" s="32" t="s">
        <v>976</v>
      </c>
      <c r="M70" s="32" t="s">
        <v>977</v>
      </c>
      <c r="N70" s="32" t="s">
        <v>978</v>
      </c>
      <c r="O70" s="32" t="s">
        <v>979</v>
      </c>
      <c r="P70" s="32" t="s">
        <v>980</v>
      </c>
      <c r="Q70" s="32" t="s">
        <v>981</v>
      </c>
      <c r="R70" s="32" t="s">
        <v>982</v>
      </c>
      <c r="S70" s="32" t="s">
        <v>983</v>
      </c>
      <c r="T70" s="32" t="s">
        <v>984</v>
      </c>
      <c r="U70" s="32" t="s">
        <v>985</v>
      </c>
      <c r="V70" s="32" t="s">
        <v>986</v>
      </c>
      <c r="W70" s="32" t="s">
        <v>987</v>
      </c>
      <c r="X70" s="32" t="s">
        <v>988</v>
      </c>
      <c r="Y70" s="32" t="s">
        <v>989</v>
      </c>
      <c r="Z70" s="32" t="s">
        <v>990</v>
      </c>
      <c r="AA70" s="32" t="s">
        <v>991</v>
      </c>
      <c r="AB70" s="32" t="s">
        <v>992</v>
      </c>
      <c r="AC70" s="32" t="s">
        <v>993</v>
      </c>
      <c r="AD70" s="32" t="s">
        <v>994</v>
      </c>
      <c r="AE70" s="32" t="s">
        <v>995</v>
      </c>
      <c r="AF70" s="32" t="s">
        <v>996</v>
      </c>
      <c r="AG70" s="19"/>
    </row>
    <row r="71" spans="2:33" ht="18.600000000000001" customHeight="1" x14ac:dyDescent="0.2">
      <c r="B71" s="32" t="s">
        <v>388</v>
      </c>
      <c r="C71" s="19"/>
      <c r="D71" s="32" t="s">
        <v>213</v>
      </c>
      <c r="E71" s="32" t="s">
        <v>997</v>
      </c>
      <c r="F71" s="32" t="s">
        <v>998</v>
      </c>
      <c r="G71" s="32" t="s">
        <v>999</v>
      </c>
      <c r="H71" s="32" t="s">
        <v>1000</v>
      </c>
      <c r="I71" s="32" t="s">
        <v>1001</v>
      </c>
      <c r="J71" s="32" t="s">
        <v>1002</v>
      </c>
      <c r="K71" s="32" t="s">
        <v>1003</v>
      </c>
      <c r="L71" s="32" t="s">
        <v>1004</v>
      </c>
      <c r="M71" s="32" t="s">
        <v>1005</v>
      </c>
      <c r="N71" s="32" t="s">
        <v>1006</v>
      </c>
      <c r="O71" s="32" t="s">
        <v>1007</v>
      </c>
      <c r="P71" s="32" t="s">
        <v>1008</v>
      </c>
      <c r="Q71" s="32" t="s">
        <v>1009</v>
      </c>
      <c r="R71" s="32" t="s">
        <v>1010</v>
      </c>
      <c r="S71" s="32" t="s">
        <v>1011</v>
      </c>
      <c r="T71" s="32" t="s">
        <v>1012</v>
      </c>
      <c r="U71" s="32" t="s">
        <v>1013</v>
      </c>
      <c r="V71" s="32" t="s">
        <v>1014</v>
      </c>
      <c r="W71" s="32" t="s">
        <v>1015</v>
      </c>
      <c r="X71" s="32" t="s">
        <v>1016</v>
      </c>
      <c r="Y71" s="32" t="s">
        <v>1017</v>
      </c>
      <c r="Z71" s="32" t="s">
        <v>1018</v>
      </c>
      <c r="AA71" s="32" t="s">
        <v>1019</v>
      </c>
      <c r="AB71" s="32" t="s">
        <v>1020</v>
      </c>
      <c r="AC71" s="32" t="s">
        <v>1021</v>
      </c>
      <c r="AD71" s="32" t="s">
        <v>1022</v>
      </c>
      <c r="AE71" s="32" t="s">
        <v>1023</v>
      </c>
      <c r="AF71" s="32" t="s">
        <v>1024</v>
      </c>
      <c r="AG71" s="19"/>
    </row>
    <row r="72" spans="2:33" ht="18.600000000000001" customHeight="1" x14ac:dyDescent="0.2">
      <c r="B72" s="32" t="s">
        <v>389</v>
      </c>
      <c r="C72" s="19"/>
      <c r="D72" s="32" t="s">
        <v>213</v>
      </c>
      <c r="E72" s="32" t="s">
        <v>1025</v>
      </c>
      <c r="F72" s="32" t="s">
        <v>1026</v>
      </c>
      <c r="G72" s="32" t="s">
        <v>1027</v>
      </c>
      <c r="H72" s="32" t="s">
        <v>1028</v>
      </c>
      <c r="I72" s="32" t="s">
        <v>1029</v>
      </c>
      <c r="J72" s="32" t="s">
        <v>1030</v>
      </c>
      <c r="K72" s="32" t="s">
        <v>1031</v>
      </c>
      <c r="L72" s="32" t="s">
        <v>1032</v>
      </c>
      <c r="M72" s="32" t="s">
        <v>1033</v>
      </c>
      <c r="N72" s="32" t="s">
        <v>1034</v>
      </c>
      <c r="O72" s="32" t="s">
        <v>1035</v>
      </c>
      <c r="P72" s="32" t="s">
        <v>1036</v>
      </c>
      <c r="Q72" s="32" t="s">
        <v>1037</v>
      </c>
      <c r="R72" s="32" t="s">
        <v>1038</v>
      </c>
      <c r="S72" s="32" t="s">
        <v>1039</v>
      </c>
      <c r="T72" s="32" t="s">
        <v>1040</v>
      </c>
      <c r="U72" s="32" t="s">
        <v>1041</v>
      </c>
      <c r="V72" s="32" t="s">
        <v>1042</v>
      </c>
      <c r="W72" s="32" t="s">
        <v>1043</v>
      </c>
      <c r="X72" s="32" t="s">
        <v>1044</v>
      </c>
      <c r="Y72" s="32" t="s">
        <v>1045</v>
      </c>
      <c r="Z72" s="32" t="s">
        <v>1046</v>
      </c>
      <c r="AA72" s="32" t="s">
        <v>1047</v>
      </c>
      <c r="AB72" s="32" t="s">
        <v>1048</v>
      </c>
      <c r="AC72" s="32" t="s">
        <v>1049</v>
      </c>
      <c r="AD72" s="32" t="s">
        <v>1050</v>
      </c>
      <c r="AE72" s="32" t="s">
        <v>1051</v>
      </c>
      <c r="AF72" s="32" t="s">
        <v>1052</v>
      </c>
      <c r="AG72" s="19"/>
    </row>
    <row r="73" spans="2:33" ht="18.600000000000001" customHeight="1" x14ac:dyDescent="0.2">
      <c r="B73" s="32" t="s">
        <v>390</v>
      </c>
      <c r="C73" s="19"/>
      <c r="D73" s="32" t="s">
        <v>213</v>
      </c>
      <c r="E73" s="32" t="s">
        <v>1053</v>
      </c>
      <c r="F73" s="32" t="s">
        <v>1054</v>
      </c>
      <c r="G73" s="32" t="s">
        <v>1055</v>
      </c>
      <c r="H73" s="32" t="s">
        <v>1056</v>
      </c>
      <c r="I73" s="32" t="s">
        <v>1057</v>
      </c>
      <c r="J73" s="32" t="s">
        <v>1058</v>
      </c>
      <c r="K73" s="32" t="s">
        <v>1059</v>
      </c>
      <c r="L73" s="32" t="s">
        <v>1060</v>
      </c>
      <c r="M73" s="32" t="s">
        <v>1061</v>
      </c>
      <c r="N73" s="32" t="s">
        <v>1062</v>
      </c>
      <c r="O73" s="32" t="s">
        <v>1063</v>
      </c>
      <c r="P73" s="32" t="s">
        <v>1064</v>
      </c>
      <c r="Q73" s="32" t="s">
        <v>1065</v>
      </c>
      <c r="R73" s="32" t="s">
        <v>1066</v>
      </c>
      <c r="S73" s="32" t="s">
        <v>1067</v>
      </c>
      <c r="T73" s="32" t="s">
        <v>1068</v>
      </c>
      <c r="U73" s="32" t="s">
        <v>1069</v>
      </c>
      <c r="V73" s="32" t="s">
        <v>1070</v>
      </c>
      <c r="W73" s="32" t="s">
        <v>1071</v>
      </c>
      <c r="X73" s="32" t="s">
        <v>1072</v>
      </c>
      <c r="Y73" s="32" t="s">
        <v>1073</v>
      </c>
      <c r="Z73" s="32" t="s">
        <v>1074</v>
      </c>
      <c r="AA73" s="32" t="s">
        <v>1075</v>
      </c>
      <c r="AB73" s="32" t="s">
        <v>1076</v>
      </c>
      <c r="AC73" s="32" t="s">
        <v>1077</v>
      </c>
      <c r="AD73" s="32" t="s">
        <v>1078</v>
      </c>
      <c r="AE73" s="32" t="s">
        <v>1079</v>
      </c>
      <c r="AF73" s="32" t="s">
        <v>1080</v>
      </c>
      <c r="AG73" s="19"/>
    </row>
    <row r="74" spans="2:33" ht="18.600000000000001" customHeight="1" x14ac:dyDescent="0.2">
      <c r="B74" s="32" t="s">
        <v>391</v>
      </c>
      <c r="C74" s="19"/>
      <c r="D74" s="32" t="s">
        <v>213</v>
      </c>
      <c r="E74" s="32" t="s">
        <v>1081</v>
      </c>
      <c r="F74" s="32" t="s">
        <v>1082</v>
      </c>
      <c r="G74" s="32" t="s">
        <v>1083</v>
      </c>
      <c r="H74" s="32" t="s">
        <v>1084</v>
      </c>
      <c r="I74" s="32" t="s">
        <v>1085</v>
      </c>
      <c r="J74" s="32" t="s">
        <v>1086</v>
      </c>
      <c r="K74" s="32" t="s">
        <v>1087</v>
      </c>
      <c r="L74" s="32" t="s">
        <v>1088</v>
      </c>
      <c r="M74" s="32" t="s">
        <v>1089</v>
      </c>
      <c r="N74" s="32" t="s">
        <v>1090</v>
      </c>
      <c r="O74" s="32" t="s">
        <v>1091</v>
      </c>
      <c r="P74" s="32" t="s">
        <v>1092</v>
      </c>
      <c r="Q74" s="32" t="s">
        <v>1093</v>
      </c>
      <c r="R74" s="32" t="s">
        <v>1094</v>
      </c>
      <c r="S74" s="32" t="s">
        <v>1095</v>
      </c>
      <c r="T74" s="32" t="s">
        <v>1096</v>
      </c>
      <c r="U74" s="32" t="s">
        <v>1097</v>
      </c>
      <c r="V74" s="32" t="s">
        <v>1098</v>
      </c>
      <c r="W74" s="32" t="s">
        <v>1099</v>
      </c>
      <c r="X74" s="32" t="s">
        <v>1100</v>
      </c>
      <c r="Y74" s="32" t="s">
        <v>1101</v>
      </c>
      <c r="Z74" s="32" t="s">
        <v>1102</v>
      </c>
      <c r="AA74" s="32" t="s">
        <v>1103</v>
      </c>
      <c r="AB74" s="32" t="s">
        <v>1104</v>
      </c>
      <c r="AC74" s="32" t="s">
        <v>1105</v>
      </c>
      <c r="AD74" s="32" t="s">
        <v>1106</v>
      </c>
      <c r="AE74" s="32" t="s">
        <v>1107</v>
      </c>
      <c r="AF74" s="32" t="s">
        <v>1108</v>
      </c>
      <c r="AG74" s="19"/>
    </row>
    <row r="75" spans="2:33" ht="18.600000000000001" customHeight="1" x14ac:dyDescent="0.2">
      <c r="B75" s="32" t="s">
        <v>392</v>
      </c>
      <c r="C75" s="19"/>
      <c r="D75" s="32" t="s">
        <v>213</v>
      </c>
      <c r="E75" s="32" t="s">
        <v>1109</v>
      </c>
      <c r="F75" s="32" t="s">
        <v>1110</v>
      </c>
      <c r="G75" s="32" t="s">
        <v>1111</v>
      </c>
      <c r="H75" s="32" t="s">
        <v>1112</v>
      </c>
      <c r="I75" s="32" t="s">
        <v>1113</v>
      </c>
      <c r="J75" s="32" t="s">
        <v>1114</v>
      </c>
      <c r="K75" s="32" t="s">
        <v>1115</v>
      </c>
      <c r="L75" s="32" t="s">
        <v>1116</v>
      </c>
      <c r="M75" s="32" t="s">
        <v>1117</v>
      </c>
      <c r="N75" s="32" t="s">
        <v>1118</v>
      </c>
      <c r="O75" s="32" t="s">
        <v>1119</v>
      </c>
      <c r="P75" s="32" t="s">
        <v>1120</v>
      </c>
      <c r="Q75" s="32" t="s">
        <v>1121</v>
      </c>
      <c r="R75" s="32" t="s">
        <v>1122</v>
      </c>
      <c r="S75" s="32" t="s">
        <v>1123</v>
      </c>
      <c r="T75" s="32" t="s">
        <v>1124</v>
      </c>
      <c r="U75" s="32" t="s">
        <v>1125</v>
      </c>
      <c r="V75" s="32" t="s">
        <v>1126</v>
      </c>
      <c r="W75" s="32" t="s">
        <v>1127</v>
      </c>
      <c r="X75" s="32" t="s">
        <v>1128</v>
      </c>
      <c r="Y75" s="32" t="s">
        <v>1129</v>
      </c>
      <c r="Z75" s="32" t="s">
        <v>1130</v>
      </c>
      <c r="AA75" s="32" t="s">
        <v>1131</v>
      </c>
      <c r="AB75" s="32" t="s">
        <v>1132</v>
      </c>
      <c r="AC75" s="32" t="s">
        <v>1133</v>
      </c>
      <c r="AD75" s="32" t="s">
        <v>1134</v>
      </c>
      <c r="AE75" s="32" t="s">
        <v>1135</v>
      </c>
      <c r="AF75" s="32" t="s">
        <v>1136</v>
      </c>
      <c r="AG75" s="19"/>
    </row>
    <row r="76" spans="2:33" ht="18.600000000000001" customHeight="1" x14ac:dyDescent="0.2">
      <c r="B76" s="32" t="s">
        <v>393</v>
      </c>
      <c r="C76" s="19"/>
      <c r="D76" s="32" t="s">
        <v>213</v>
      </c>
      <c r="E76" s="32" t="s">
        <v>1137</v>
      </c>
      <c r="F76" s="32" t="s">
        <v>1138</v>
      </c>
      <c r="G76" s="32" t="s">
        <v>1139</v>
      </c>
      <c r="H76" s="32" t="s">
        <v>1140</v>
      </c>
      <c r="I76" s="32" t="s">
        <v>1141</v>
      </c>
      <c r="J76" s="32" t="s">
        <v>1142</v>
      </c>
      <c r="K76" s="32" t="s">
        <v>1143</v>
      </c>
      <c r="L76" s="32" t="s">
        <v>1144</v>
      </c>
      <c r="M76" s="32" t="s">
        <v>1145</v>
      </c>
      <c r="N76" s="32" t="s">
        <v>1146</v>
      </c>
      <c r="O76" s="32" t="s">
        <v>1147</v>
      </c>
      <c r="P76" s="32" t="s">
        <v>1148</v>
      </c>
      <c r="Q76" s="32" t="s">
        <v>1149</v>
      </c>
      <c r="R76" s="32" t="s">
        <v>1150</v>
      </c>
      <c r="S76" s="32" t="s">
        <v>1151</v>
      </c>
      <c r="T76" s="32" t="s">
        <v>1152</v>
      </c>
      <c r="U76" s="32" t="s">
        <v>1153</v>
      </c>
      <c r="V76" s="32" t="s">
        <v>1154</v>
      </c>
      <c r="W76" s="32" t="s">
        <v>1155</v>
      </c>
      <c r="X76" s="32" t="s">
        <v>1156</v>
      </c>
      <c r="Y76" s="32" t="s">
        <v>1157</v>
      </c>
      <c r="Z76" s="32" t="s">
        <v>1158</v>
      </c>
      <c r="AA76" s="32" t="s">
        <v>1159</v>
      </c>
      <c r="AB76" s="32" t="s">
        <v>1160</v>
      </c>
      <c r="AC76" s="32" t="s">
        <v>1161</v>
      </c>
      <c r="AD76" s="32" t="s">
        <v>1162</v>
      </c>
      <c r="AE76" s="32" t="s">
        <v>1163</v>
      </c>
      <c r="AF76" s="32" t="s">
        <v>1164</v>
      </c>
      <c r="AG76" s="19"/>
    </row>
    <row r="77" spans="2:33" ht="18.600000000000001" customHeight="1" x14ac:dyDescent="0.2">
      <c r="B77" s="32" t="s">
        <v>394</v>
      </c>
      <c r="C77" s="19"/>
      <c r="D77" s="32" t="s">
        <v>213</v>
      </c>
      <c r="E77" s="32" t="s">
        <v>1165</v>
      </c>
      <c r="F77" s="32" t="s">
        <v>1166</v>
      </c>
      <c r="G77" s="32" t="s">
        <v>1167</v>
      </c>
      <c r="H77" s="32" t="s">
        <v>1168</v>
      </c>
      <c r="I77" s="32" t="s">
        <v>1169</v>
      </c>
      <c r="J77" s="32" t="s">
        <v>1170</v>
      </c>
      <c r="K77" s="32" t="s">
        <v>1171</v>
      </c>
      <c r="L77" s="32" t="s">
        <v>1172</v>
      </c>
      <c r="M77" s="32" t="s">
        <v>1173</v>
      </c>
      <c r="N77" s="32" t="s">
        <v>1174</v>
      </c>
      <c r="O77" s="32" t="s">
        <v>1175</v>
      </c>
      <c r="P77" s="32" t="s">
        <v>1176</v>
      </c>
      <c r="Q77" s="32" t="s">
        <v>1177</v>
      </c>
      <c r="R77" s="32" t="s">
        <v>1178</v>
      </c>
      <c r="S77" s="32" t="s">
        <v>1179</v>
      </c>
      <c r="T77" s="32" t="s">
        <v>1180</v>
      </c>
      <c r="U77" s="32" t="s">
        <v>1181</v>
      </c>
      <c r="V77" s="32" t="s">
        <v>1182</v>
      </c>
      <c r="W77" s="32" t="s">
        <v>1183</v>
      </c>
      <c r="X77" s="32" t="s">
        <v>1184</v>
      </c>
      <c r="Y77" s="32" t="s">
        <v>1185</v>
      </c>
      <c r="Z77" s="32" t="s">
        <v>1186</v>
      </c>
      <c r="AA77" s="32" t="s">
        <v>1187</v>
      </c>
      <c r="AB77" s="32" t="s">
        <v>1188</v>
      </c>
      <c r="AC77" s="32" t="s">
        <v>1189</v>
      </c>
      <c r="AD77" s="32" t="s">
        <v>1190</v>
      </c>
      <c r="AE77" s="32" t="s">
        <v>1191</v>
      </c>
      <c r="AF77" s="32" t="s">
        <v>1192</v>
      </c>
      <c r="AG77" s="19"/>
    </row>
    <row r="78" spans="2:33" ht="18.600000000000001" customHeight="1" x14ac:dyDescent="0.2">
      <c r="B78" s="32" t="s">
        <v>395</v>
      </c>
      <c r="C78" s="19"/>
      <c r="D78" s="32" t="s">
        <v>213</v>
      </c>
      <c r="E78" s="32" t="s">
        <v>1193</v>
      </c>
      <c r="F78" s="32" t="s">
        <v>1194</v>
      </c>
      <c r="G78" s="32" t="s">
        <v>1195</v>
      </c>
      <c r="H78" s="32" t="s">
        <v>1196</v>
      </c>
      <c r="I78" s="32" t="s">
        <v>1197</v>
      </c>
      <c r="J78" s="32" t="s">
        <v>1198</v>
      </c>
      <c r="K78" s="32" t="s">
        <v>1199</v>
      </c>
      <c r="L78" s="32" t="s">
        <v>1200</v>
      </c>
      <c r="M78" s="32" t="s">
        <v>1201</v>
      </c>
      <c r="N78" s="32" t="s">
        <v>1202</v>
      </c>
      <c r="O78" s="32" t="s">
        <v>1203</v>
      </c>
      <c r="P78" s="32" t="s">
        <v>1204</v>
      </c>
      <c r="Q78" s="32" t="s">
        <v>1205</v>
      </c>
      <c r="R78" s="32" t="s">
        <v>1206</v>
      </c>
      <c r="S78" s="32" t="s">
        <v>1207</v>
      </c>
      <c r="T78" s="32" t="s">
        <v>1208</v>
      </c>
      <c r="U78" s="32" t="s">
        <v>1209</v>
      </c>
      <c r="V78" s="32" t="s">
        <v>1210</v>
      </c>
      <c r="W78" s="32" t="s">
        <v>1211</v>
      </c>
      <c r="X78" s="32" t="s">
        <v>1212</v>
      </c>
      <c r="Y78" s="32" t="s">
        <v>1213</v>
      </c>
      <c r="Z78" s="32" t="s">
        <v>1214</v>
      </c>
      <c r="AA78" s="32" t="s">
        <v>1215</v>
      </c>
      <c r="AB78" s="32" t="s">
        <v>1216</v>
      </c>
      <c r="AC78" s="32" t="s">
        <v>1217</v>
      </c>
      <c r="AD78" s="32" t="s">
        <v>1218</v>
      </c>
      <c r="AE78" s="32" t="s">
        <v>1219</v>
      </c>
      <c r="AF78" s="32" t="s">
        <v>1220</v>
      </c>
      <c r="AG78" s="19"/>
    </row>
    <row r="79" spans="2:33" ht="18.600000000000001" customHeight="1" x14ac:dyDescent="0.2">
      <c r="B79" s="32" t="s">
        <v>396</v>
      </c>
      <c r="C79" s="19"/>
      <c r="D79" s="32" t="s">
        <v>213</v>
      </c>
      <c r="E79" s="32" t="s">
        <v>1221</v>
      </c>
      <c r="F79" s="32" t="s">
        <v>1222</v>
      </c>
      <c r="G79" s="32" t="s">
        <v>1223</v>
      </c>
      <c r="H79" s="32" t="s">
        <v>1224</v>
      </c>
      <c r="I79" s="32" t="s">
        <v>1225</v>
      </c>
      <c r="J79" s="32" t="s">
        <v>1226</v>
      </c>
      <c r="K79" s="32" t="s">
        <v>1227</v>
      </c>
      <c r="L79" s="32" t="s">
        <v>1228</v>
      </c>
      <c r="M79" s="32" t="s">
        <v>1229</v>
      </c>
      <c r="N79" s="32" t="s">
        <v>1230</v>
      </c>
      <c r="O79" s="32" t="s">
        <v>1231</v>
      </c>
      <c r="P79" s="32" t="s">
        <v>1232</v>
      </c>
      <c r="Q79" s="32" t="s">
        <v>1233</v>
      </c>
      <c r="R79" s="32" t="s">
        <v>1234</v>
      </c>
      <c r="S79" s="32" t="s">
        <v>1235</v>
      </c>
      <c r="T79" s="32" t="s">
        <v>1236</v>
      </c>
      <c r="U79" s="32" t="s">
        <v>1237</v>
      </c>
      <c r="V79" s="32" t="s">
        <v>1238</v>
      </c>
      <c r="W79" s="32" t="s">
        <v>1239</v>
      </c>
      <c r="X79" s="32" t="s">
        <v>1240</v>
      </c>
      <c r="Y79" s="32" t="s">
        <v>1241</v>
      </c>
      <c r="Z79" s="32" t="s">
        <v>1242</v>
      </c>
      <c r="AA79" s="32" t="s">
        <v>1243</v>
      </c>
      <c r="AB79" s="32" t="s">
        <v>1244</v>
      </c>
      <c r="AC79" s="32" t="s">
        <v>1245</v>
      </c>
      <c r="AD79" s="32" t="s">
        <v>1246</v>
      </c>
      <c r="AE79" s="32" t="s">
        <v>1247</v>
      </c>
      <c r="AF79" s="32" t="s">
        <v>1248</v>
      </c>
      <c r="AG79" s="19"/>
    </row>
    <row r="80" spans="2:33" ht="18.600000000000001" customHeight="1" x14ac:dyDescent="0.2">
      <c r="B80" s="32" t="s">
        <v>397</v>
      </c>
      <c r="C80" s="19"/>
      <c r="D80" s="32" t="s">
        <v>213</v>
      </c>
      <c r="E80" s="32" t="s">
        <v>1249</v>
      </c>
      <c r="F80" s="32" t="s">
        <v>1250</v>
      </c>
      <c r="G80" s="32" t="s">
        <v>1251</v>
      </c>
      <c r="H80" s="32" t="s">
        <v>1252</v>
      </c>
      <c r="I80" s="32" t="s">
        <v>1253</v>
      </c>
      <c r="J80" s="32" t="s">
        <v>1254</v>
      </c>
      <c r="K80" s="32" t="s">
        <v>1255</v>
      </c>
      <c r="L80" s="32" t="s">
        <v>1256</v>
      </c>
      <c r="M80" s="32" t="s">
        <v>1257</v>
      </c>
      <c r="N80" s="32" t="s">
        <v>1258</v>
      </c>
      <c r="O80" s="32" t="s">
        <v>1259</v>
      </c>
      <c r="P80" s="32" t="s">
        <v>1260</v>
      </c>
      <c r="Q80" s="32" t="s">
        <v>1261</v>
      </c>
      <c r="R80" s="32" t="s">
        <v>1262</v>
      </c>
      <c r="S80" s="32" t="s">
        <v>1263</v>
      </c>
      <c r="T80" s="32" t="s">
        <v>1264</v>
      </c>
      <c r="U80" s="32" t="s">
        <v>1265</v>
      </c>
      <c r="V80" s="32" t="s">
        <v>1266</v>
      </c>
      <c r="W80" s="32" t="s">
        <v>1267</v>
      </c>
      <c r="X80" s="32" t="s">
        <v>1268</v>
      </c>
      <c r="Y80" s="32" t="s">
        <v>1269</v>
      </c>
      <c r="Z80" s="32" t="s">
        <v>1270</v>
      </c>
      <c r="AA80" s="32" t="s">
        <v>1271</v>
      </c>
      <c r="AB80" s="32" t="s">
        <v>1272</v>
      </c>
      <c r="AC80" s="32" t="s">
        <v>1273</v>
      </c>
      <c r="AD80" s="32" t="s">
        <v>1274</v>
      </c>
      <c r="AE80" s="32" t="s">
        <v>1275</v>
      </c>
      <c r="AF80" s="32" t="s">
        <v>1276</v>
      </c>
      <c r="AG80" s="19"/>
    </row>
    <row r="81" spans="2:33" ht="18.600000000000001" customHeight="1" x14ac:dyDescent="0.2">
      <c r="B81" s="32" t="s">
        <v>398</v>
      </c>
      <c r="C81" s="19"/>
      <c r="D81" s="32" t="s">
        <v>213</v>
      </c>
      <c r="E81" s="32" t="s">
        <v>1277</v>
      </c>
      <c r="F81" s="32" t="s">
        <v>1278</v>
      </c>
      <c r="G81" s="32" t="s">
        <v>1279</v>
      </c>
      <c r="H81" s="32" t="s">
        <v>1280</v>
      </c>
      <c r="I81" s="32" t="s">
        <v>1281</v>
      </c>
      <c r="J81" s="32" t="s">
        <v>1282</v>
      </c>
      <c r="K81" s="32" t="s">
        <v>1283</v>
      </c>
      <c r="L81" s="32" t="s">
        <v>1284</v>
      </c>
      <c r="M81" s="32" t="s">
        <v>1285</v>
      </c>
      <c r="N81" s="32" t="s">
        <v>1286</v>
      </c>
      <c r="O81" s="32" t="s">
        <v>1287</v>
      </c>
      <c r="P81" s="32" t="s">
        <v>1288</v>
      </c>
      <c r="Q81" s="32" t="s">
        <v>1289</v>
      </c>
      <c r="R81" s="32" t="s">
        <v>1290</v>
      </c>
      <c r="S81" s="32" t="s">
        <v>1291</v>
      </c>
      <c r="T81" s="32" t="s">
        <v>1292</v>
      </c>
      <c r="U81" s="32" t="s">
        <v>1293</v>
      </c>
      <c r="V81" s="32" t="s">
        <v>1294</v>
      </c>
      <c r="W81" s="32" t="s">
        <v>1295</v>
      </c>
      <c r="X81" s="32" t="s">
        <v>1296</v>
      </c>
      <c r="Y81" s="32" t="s">
        <v>1297</v>
      </c>
      <c r="Z81" s="32" t="s">
        <v>1298</v>
      </c>
      <c r="AA81" s="32" t="s">
        <v>1299</v>
      </c>
      <c r="AB81" s="32" t="s">
        <v>1300</v>
      </c>
      <c r="AC81" s="32" t="s">
        <v>1301</v>
      </c>
      <c r="AD81" s="32" t="s">
        <v>1302</v>
      </c>
      <c r="AE81" s="32" t="s">
        <v>1303</v>
      </c>
      <c r="AF81" s="32" t="s">
        <v>1304</v>
      </c>
      <c r="AG81" s="19"/>
    </row>
    <row r="82" spans="2:33" ht="18.600000000000001" customHeight="1" x14ac:dyDescent="0.2">
      <c r="B82" s="32" t="s">
        <v>399</v>
      </c>
      <c r="C82" s="19"/>
      <c r="D82" s="32" t="s">
        <v>213</v>
      </c>
      <c r="E82" s="32" t="s">
        <v>1305</v>
      </c>
      <c r="F82" s="32" t="s">
        <v>1306</v>
      </c>
      <c r="G82" s="32" t="s">
        <v>1307</v>
      </c>
      <c r="H82" s="32" t="s">
        <v>1308</v>
      </c>
      <c r="I82" s="32" t="s">
        <v>1309</v>
      </c>
      <c r="J82" s="32" t="s">
        <v>1310</v>
      </c>
      <c r="K82" s="32" t="s">
        <v>1311</v>
      </c>
      <c r="L82" s="32" t="s">
        <v>1312</v>
      </c>
      <c r="M82" s="32" t="s">
        <v>1313</v>
      </c>
      <c r="N82" s="32" t="s">
        <v>1314</v>
      </c>
      <c r="O82" s="32" t="s">
        <v>1315</v>
      </c>
      <c r="P82" s="32" t="s">
        <v>1316</v>
      </c>
      <c r="Q82" s="32" t="s">
        <v>1317</v>
      </c>
      <c r="R82" s="32" t="s">
        <v>1318</v>
      </c>
      <c r="S82" s="32" t="s">
        <v>1319</v>
      </c>
      <c r="T82" s="32" t="s">
        <v>1320</v>
      </c>
      <c r="U82" s="32" t="s">
        <v>1321</v>
      </c>
      <c r="V82" s="32" t="s">
        <v>1322</v>
      </c>
      <c r="W82" s="32" t="s">
        <v>1323</v>
      </c>
      <c r="X82" s="32" t="s">
        <v>1324</v>
      </c>
      <c r="Y82" s="32" t="s">
        <v>1325</v>
      </c>
      <c r="Z82" s="32" t="s">
        <v>1326</v>
      </c>
      <c r="AA82" s="32" t="s">
        <v>1327</v>
      </c>
      <c r="AB82" s="32" t="s">
        <v>1328</v>
      </c>
      <c r="AC82" s="32" t="s">
        <v>1329</v>
      </c>
      <c r="AD82" s="32" t="s">
        <v>1330</v>
      </c>
      <c r="AE82" s="32" t="s">
        <v>1331</v>
      </c>
      <c r="AF82" s="32" t="s">
        <v>1332</v>
      </c>
      <c r="AG82" s="19"/>
    </row>
    <row r="83" spans="2:33" ht="18.600000000000001" customHeight="1" x14ac:dyDescent="0.2">
      <c r="B83" s="32" t="s">
        <v>400</v>
      </c>
      <c r="C83" s="19"/>
      <c r="D83" s="32" t="s">
        <v>213</v>
      </c>
      <c r="E83" s="32" t="s">
        <v>1333</v>
      </c>
      <c r="F83" s="32" t="s">
        <v>1334</v>
      </c>
      <c r="G83" s="32" t="s">
        <v>1335</v>
      </c>
      <c r="H83" s="32" t="s">
        <v>1336</v>
      </c>
      <c r="I83" s="32" t="s">
        <v>1337</v>
      </c>
      <c r="J83" s="32" t="s">
        <v>1338</v>
      </c>
      <c r="K83" s="32" t="s">
        <v>1339</v>
      </c>
      <c r="L83" s="32" t="s">
        <v>1340</v>
      </c>
      <c r="M83" s="32" t="s">
        <v>1341</v>
      </c>
      <c r="N83" s="32" t="s">
        <v>1342</v>
      </c>
      <c r="O83" s="32" t="s">
        <v>1343</v>
      </c>
      <c r="P83" s="32" t="s">
        <v>1344</v>
      </c>
      <c r="Q83" s="32" t="s">
        <v>1345</v>
      </c>
      <c r="R83" s="32" t="s">
        <v>1346</v>
      </c>
      <c r="S83" s="32" t="s">
        <v>1347</v>
      </c>
      <c r="T83" s="32" t="s">
        <v>1348</v>
      </c>
      <c r="U83" s="32" t="s">
        <v>1349</v>
      </c>
      <c r="V83" s="32" t="s">
        <v>1350</v>
      </c>
      <c r="W83" s="32" t="s">
        <v>1351</v>
      </c>
      <c r="X83" s="32" t="s">
        <v>1352</v>
      </c>
      <c r="Y83" s="32" t="s">
        <v>1353</v>
      </c>
      <c r="Z83" s="32" t="s">
        <v>1354</v>
      </c>
      <c r="AA83" s="32" t="s">
        <v>1355</v>
      </c>
      <c r="AB83" s="32" t="s">
        <v>1356</v>
      </c>
      <c r="AC83" s="32" t="s">
        <v>1357</v>
      </c>
      <c r="AD83" s="32" t="s">
        <v>1358</v>
      </c>
      <c r="AE83" s="32" t="s">
        <v>1359</v>
      </c>
      <c r="AF83" s="32" t="s">
        <v>1360</v>
      </c>
      <c r="AG83" s="19"/>
    </row>
    <row r="84" spans="2:33" ht="18.600000000000001" customHeight="1" x14ac:dyDescent="0.2">
      <c r="B84" s="32" t="s">
        <v>401</v>
      </c>
      <c r="C84" s="19"/>
      <c r="D84" s="32" t="s">
        <v>310</v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19"/>
    </row>
    <row r="85" spans="2:33" ht="18.600000000000001" customHeight="1" x14ac:dyDescent="0.2">
      <c r="B85" s="32" t="s">
        <v>402</v>
      </c>
      <c r="C85" s="19"/>
      <c r="D85" s="32" t="s">
        <v>310</v>
      </c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19"/>
    </row>
    <row r="86" spans="2:33" ht="18.600000000000001" customHeight="1" x14ac:dyDescent="0.2">
      <c r="B86" s="32" t="s">
        <v>403</v>
      </c>
      <c r="C86" s="19"/>
      <c r="D86" s="32" t="s">
        <v>310</v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19"/>
    </row>
    <row r="87" spans="2:33" ht="18.600000000000001" customHeight="1" x14ac:dyDescent="0.2">
      <c r="B87" s="32" t="s">
        <v>404</v>
      </c>
      <c r="C87" s="19"/>
      <c r="D87" s="32" t="s">
        <v>310</v>
      </c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19"/>
    </row>
    <row r="88" spans="2:33" ht="18.600000000000001" customHeight="1" x14ac:dyDescent="0.2">
      <c r="B88" s="32" t="s">
        <v>405</v>
      </c>
      <c r="C88" s="19"/>
      <c r="D88" s="32" t="s">
        <v>310</v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19"/>
    </row>
    <row r="89" spans="2:33" ht="18.600000000000001" customHeight="1" x14ac:dyDescent="0.2">
      <c r="B89" s="32" t="s">
        <v>406</v>
      </c>
      <c r="C89" s="19"/>
      <c r="D89" s="32" t="s">
        <v>213</v>
      </c>
      <c r="E89" s="32" t="s">
        <v>1361</v>
      </c>
      <c r="F89" s="32" t="s">
        <v>1362</v>
      </c>
      <c r="G89" s="32" t="s">
        <v>1363</v>
      </c>
      <c r="H89" s="32" t="s">
        <v>1364</v>
      </c>
      <c r="I89" s="32" t="s">
        <v>1365</v>
      </c>
      <c r="J89" s="32" t="s">
        <v>1366</v>
      </c>
      <c r="K89" s="32" t="s">
        <v>1367</v>
      </c>
      <c r="L89" s="32" t="s">
        <v>1368</v>
      </c>
      <c r="M89" s="32" t="s">
        <v>1369</v>
      </c>
      <c r="N89" s="32" t="s">
        <v>1370</v>
      </c>
      <c r="O89" s="32" t="s">
        <v>1371</v>
      </c>
      <c r="P89" s="32" t="s">
        <v>1372</v>
      </c>
      <c r="Q89" s="32" t="s">
        <v>1373</v>
      </c>
      <c r="R89" s="32" t="s">
        <v>1374</v>
      </c>
      <c r="S89" s="32" t="s">
        <v>1375</v>
      </c>
      <c r="T89" s="32" t="s">
        <v>1376</v>
      </c>
      <c r="U89" s="32" t="s">
        <v>1377</v>
      </c>
      <c r="V89" s="32" t="s">
        <v>1378</v>
      </c>
      <c r="W89" s="32" t="s">
        <v>1379</v>
      </c>
      <c r="X89" s="32" t="s">
        <v>1380</v>
      </c>
      <c r="Y89" s="32" t="s">
        <v>1381</v>
      </c>
      <c r="Z89" s="32" t="s">
        <v>1382</v>
      </c>
      <c r="AA89" s="32" t="s">
        <v>1383</v>
      </c>
      <c r="AB89" s="32" t="s">
        <v>1384</v>
      </c>
      <c r="AC89" s="32" t="s">
        <v>1385</v>
      </c>
      <c r="AD89" s="32" t="s">
        <v>1386</v>
      </c>
      <c r="AE89" s="32" t="s">
        <v>1387</v>
      </c>
      <c r="AF89" s="32" t="s">
        <v>1388</v>
      </c>
      <c r="AG89" s="19"/>
    </row>
    <row r="90" spans="2:33" ht="18.600000000000001" customHeight="1" x14ac:dyDescent="0.2">
      <c r="B90" s="32" t="s">
        <v>407</v>
      </c>
      <c r="C90" s="19"/>
      <c r="D90" s="32" t="s">
        <v>310</v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19"/>
    </row>
    <row r="91" spans="2:33" ht="18.600000000000001" customHeight="1" x14ac:dyDescent="0.2">
      <c r="B91" s="32" t="s">
        <v>408</v>
      </c>
      <c r="C91" s="19"/>
      <c r="D91" s="32" t="s">
        <v>310</v>
      </c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19"/>
    </row>
    <row r="92" spans="2:33" ht="18.600000000000001" customHeight="1" x14ac:dyDescent="0.2">
      <c r="B92" s="32" t="s">
        <v>409</v>
      </c>
      <c r="C92" s="19"/>
      <c r="D92" s="32" t="s">
        <v>213</v>
      </c>
      <c r="E92" s="32" t="s">
        <v>1389</v>
      </c>
      <c r="F92" s="32" t="s">
        <v>1390</v>
      </c>
      <c r="G92" s="32" t="s">
        <v>1391</v>
      </c>
      <c r="H92" s="32" t="s">
        <v>1392</v>
      </c>
      <c r="I92" s="32" t="s">
        <v>1393</v>
      </c>
      <c r="J92" s="32" t="s">
        <v>1394</v>
      </c>
      <c r="K92" s="32" t="s">
        <v>1395</v>
      </c>
      <c r="L92" s="32" t="s">
        <v>1396</v>
      </c>
      <c r="M92" s="32" t="s">
        <v>1397</v>
      </c>
      <c r="N92" s="32" t="s">
        <v>1398</v>
      </c>
      <c r="O92" s="32" t="s">
        <v>1399</v>
      </c>
      <c r="P92" s="32" t="s">
        <v>1400</v>
      </c>
      <c r="Q92" s="32" t="s">
        <v>1401</v>
      </c>
      <c r="R92" s="32" t="s">
        <v>1402</v>
      </c>
      <c r="S92" s="32" t="s">
        <v>1403</v>
      </c>
      <c r="T92" s="32" t="s">
        <v>1404</v>
      </c>
      <c r="U92" s="32" t="s">
        <v>1405</v>
      </c>
      <c r="V92" s="32" t="s">
        <v>1406</v>
      </c>
      <c r="W92" s="32" t="s">
        <v>1407</v>
      </c>
      <c r="X92" s="32" t="s">
        <v>1408</v>
      </c>
      <c r="Y92" s="32" t="s">
        <v>1409</v>
      </c>
      <c r="Z92" s="32" t="s">
        <v>1410</v>
      </c>
      <c r="AA92" s="32" t="s">
        <v>1411</v>
      </c>
      <c r="AB92" s="32" t="s">
        <v>1412</v>
      </c>
      <c r="AC92" s="32" t="s">
        <v>1413</v>
      </c>
      <c r="AD92" s="32" t="s">
        <v>1414</v>
      </c>
      <c r="AE92" s="32" t="s">
        <v>1415</v>
      </c>
      <c r="AF92" s="32" t="s">
        <v>1416</v>
      </c>
      <c r="AG92" s="19"/>
    </row>
    <row r="93" spans="2:33" ht="18.600000000000001" customHeight="1" x14ac:dyDescent="0.2">
      <c r="B93" s="32" t="s">
        <v>410</v>
      </c>
      <c r="C93" s="19"/>
      <c r="D93" s="32" t="s">
        <v>213</v>
      </c>
      <c r="E93" s="32" t="s">
        <v>1417</v>
      </c>
      <c r="F93" s="32" t="s">
        <v>1418</v>
      </c>
      <c r="G93" s="32" t="s">
        <v>1419</v>
      </c>
      <c r="H93" s="32" t="s">
        <v>1420</v>
      </c>
      <c r="I93" s="32" t="s">
        <v>1421</v>
      </c>
      <c r="J93" s="32" t="s">
        <v>1422</v>
      </c>
      <c r="K93" s="32" t="s">
        <v>1423</v>
      </c>
      <c r="L93" s="32" t="s">
        <v>1424</v>
      </c>
      <c r="M93" s="32" t="s">
        <v>1425</v>
      </c>
      <c r="N93" s="32" t="s">
        <v>1426</v>
      </c>
      <c r="O93" s="32" t="s">
        <v>1427</v>
      </c>
      <c r="P93" s="32" t="s">
        <v>1428</v>
      </c>
      <c r="Q93" s="32" t="s">
        <v>1429</v>
      </c>
      <c r="R93" s="32" t="s">
        <v>1430</v>
      </c>
      <c r="S93" s="32" t="s">
        <v>1431</v>
      </c>
      <c r="T93" s="32" t="s">
        <v>1432</v>
      </c>
      <c r="U93" s="32" t="s">
        <v>1433</v>
      </c>
      <c r="V93" s="32" t="s">
        <v>1434</v>
      </c>
      <c r="W93" s="32" t="s">
        <v>1435</v>
      </c>
      <c r="X93" s="32" t="s">
        <v>1436</v>
      </c>
      <c r="Y93" s="32" t="s">
        <v>1437</v>
      </c>
      <c r="Z93" s="32" t="s">
        <v>1438</v>
      </c>
      <c r="AA93" s="32" t="s">
        <v>1439</v>
      </c>
      <c r="AB93" s="32" t="s">
        <v>1440</v>
      </c>
      <c r="AC93" s="32" t="s">
        <v>1441</v>
      </c>
      <c r="AD93" s="32" t="s">
        <v>1442</v>
      </c>
      <c r="AE93" s="32" t="s">
        <v>1443</v>
      </c>
      <c r="AF93" s="32" t="s">
        <v>1444</v>
      </c>
      <c r="AG93" s="19"/>
    </row>
    <row r="94" spans="2:33" ht="18.600000000000001" customHeight="1" x14ac:dyDescent="0.2">
      <c r="B94" s="32" t="s">
        <v>411</v>
      </c>
      <c r="C94" s="19"/>
      <c r="D94" s="32" t="s">
        <v>213</v>
      </c>
      <c r="E94" s="32" t="s">
        <v>1445</v>
      </c>
      <c r="F94" s="32" t="s">
        <v>1446</v>
      </c>
      <c r="G94" s="32" t="s">
        <v>1447</v>
      </c>
      <c r="H94" s="32" t="s">
        <v>1448</v>
      </c>
      <c r="I94" s="32" t="s">
        <v>1449</v>
      </c>
      <c r="J94" s="32" t="s">
        <v>1450</v>
      </c>
      <c r="K94" s="32" t="s">
        <v>1451</v>
      </c>
      <c r="L94" s="32" t="s">
        <v>1452</v>
      </c>
      <c r="M94" s="32" t="s">
        <v>1453</v>
      </c>
      <c r="N94" s="32" t="s">
        <v>1454</v>
      </c>
      <c r="O94" s="32" t="s">
        <v>1455</v>
      </c>
      <c r="P94" s="32" t="s">
        <v>1456</v>
      </c>
      <c r="Q94" s="32" t="s">
        <v>1457</v>
      </c>
      <c r="R94" s="32" t="s">
        <v>1458</v>
      </c>
      <c r="S94" s="32" t="s">
        <v>1459</v>
      </c>
      <c r="T94" s="32" t="s">
        <v>1460</v>
      </c>
      <c r="U94" s="32" t="s">
        <v>1461</v>
      </c>
      <c r="V94" s="32" t="s">
        <v>1462</v>
      </c>
      <c r="W94" s="32" t="s">
        <v>1463</v>
      </c>
      <c r="X94" s="32" t="s">
        <v>1464</v>
      </c>
      <c r="Y94" s="32" t="s">
        <v>1465</v>
      </c>
      <c r="Z94" s="32" t="s">
        <v>1466</v>
      </c>
      <c r="AA94" s="32" t="s">
        <v>1467</v>
      </c>
      <c r="AB94" s="32" t="s">
        <v>1468</v>
      </c>
      <c r="AC94" s="32" t="s">
        <v>1469</v>
      </c>
      <c r="AD94" s="32" t="s">
        <v>1470</v>
      </c>
      <c r="AE94" s="32" t="s">
        <v>1471</v>
      </c>
      <c r="AF94" s="32" t="s">
        <v>1472</v>
      </c>
      <c r="AG94" s="19"/>
    </row>
    <row r="95" spans="2:33" ht="18.600000000000001" customHeight="1" x14ac:dyDescent="0.2">
      <c r="B95" s="32" t="s">
        <v>412</v>
      </c>
      <c r="C95" s="19"/>
      <c r="D95" s="32" t="s">
        <v>310</v>
      </c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19"/>
    </row>
    <row r="96" spans="2:33" ht="18.600000000000001" customHeight="1" x14ac:dyDescent="0.2">
      <c r="B96" s="32" t="s">
        <v>413</v>
      </c>
      <c r="C96" s="19"/>
      <c r="D96" s="32" t="s">
        <v>310</v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19"/>
    </row>
    <row r="97" spans="2:33" ht="18.600000000000001" customHeight="1" x14ac:dyDescent="0.2">
      <c r="B97" s="32" t="s">
        <v>414</v>
      </c>
      <c r="C97" s="19"/>
      <c r="D97" s="32" t="s">
        <v>310</v>
      </c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19"/>
    </row>
    <row r="98" spans="2:33" ht="18.600000000000001" customHeight="1" x14ac:dyDescent="0.2">
      <c r="B98" s="32" t="s">
        <v>415</v>
      </c>
      <c r="C98" s="19"/>
      <c r="D98" s="32" t="s">
        <v>310</v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19"/>
    </row>
    <row r="99" spans="2:33" ht="18.600000000000001" customHeight="1" x14ac:dyDescent="0.2">
      <c r="B99" s="32" t="s">
        <v>416</v>
      </c>
      <c r="C99" s="19"/>
      <c r="D99" s="32" t="s">
        <v>310</v>
      </c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19"/>
    </row>
    <row r="100" spans="2:33" ht="18.600000000000001" customHeight="1" x14ac:dyDescent="0.2">
      <c r="B100" s="32" t="s">
        <v>417</v>
      </c>
      <c r="C100" s="19"/>
      <c r="D100" s="32" t="s">
        <v>310</v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19"/>
    </row>
    <row r="101" spans="2:33" ht="18.600000000000001" customHeight="1" x14ac:dyDescent="0.2">
      <c r="B101" s="32" t="s">
        <v>418</v>
      </c>
      <c r="C101" s="19"/>
      <c r="D101" s="32" t="s">
        <v>310</v>
      </c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19"/>
    </row>
    <row r="102" spans="2:33" ht="18.600000000000001" customHeight="1" x14ac:dyDescent="0.2">
      <c r="B102" s="32" t="s">
        <v>419</v>
      </c>
      <c r="C102" s="19"/>
      <c r="D102" s="32" t="s">
        <v>310</v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19"/>
    </row>
    <row r="103" spans="2:33" ht="18.600000000000001" customHeight="1" x14ac:dyDescent="0.2">
      <c r="B103" s="32" t="s">
        <v>420</v>
      </c>
      <c r="C103" s="19"/>
      <c r="D103" s="32" t="s">
        <v>310</v>
      </c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19"/>
    </row>
    <row r="104" spans="2:33" ht="18.600000000000001" customHeight="1" x14ac:dyDescent="0.2">
      <c r="B104" s="32" t="s">
        <v>421</v>
      </c>
      <c r="C104" s="19"/>
      <c r="D104" s="32" t="s">
        <v>310</v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19"/>
    </row>
    <row r="105" spans="2:33" ht="18.600000000000001" customHeight="1" x14ac:dyDescent="0.2">
      <c r="B105" s="32" t="s">
        <v>422</v>
      </c>
      <c r="C105" s="19"/>
      <c r="D105" s="32" t="s">
        <v>310</v>
      </c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19"/>
    </row>
    <row r="106" spans="2:33" ht="18.600000000000001" customHeight="1" x14ac:dyDescent="0.2">
      <c r="B106" s="32" t="s">
        <v>423</v>
      </c>
      <c r="C106" s="19"/>
      <c r="D106" s="32" t="s">
        <v>310</v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19"/>
    </row>
    <row r="107" spans="2:33" ht="18.600000000000001" customHeight="1" x14ac:dyDescent="0.2">
      <c r="B107" s="32" t="s">
        <v>424</v>
      </c>
      <c r="C107" s="19"/>
      <c r="D107" s="32" t="s">
        <v>310</v>
      </c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19"/>
    </row>
    <row r="108" spans="2:33" ht="18.600000000000001" customHeight="1" x14ac:dyDescent="0.2">
      <c r="B108" s="32" t="s">
        <v>425</v>
      </c>
      <c r="C108" s="19"/>
      <c r="D108" s="32" t="s">
        <v>310</v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19"/>
    </row>
    <row r="109" spans="2:33" ht="18.600000000000001" customHeight="1" x14ac:dyDescent="0.2">
      <c r="B109" s="32" t="s">
        <v>426</v>
      </c>
      <c r="C109" s="19"/>
      <c r="D109" s="32" t="s">
        <v>310</v>
      </c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19"/>
    </row>
    <row r="110" spans="2:33" ht="18.600000000000001" customHeight="1" x14ac:dyDescent="0.2">
      <c r="B110" s="32" t="s">
        <v>427</v>
      </c>
      <c r="C110" s="19"/>
      <c r="D110" s="32" t="s">
        <v>310</v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19"/>
    </row>
    <row r="111" spans="2:33" ht="18.600000000000001" customHeight="1" x14ac:dyDescent="0.2">
      <c r="B111" s="32" t="s">
        <v>428</v>
      </c>
      <c r="C111" s="19"/>
      <c r="D111" s="32" t="s">
        <v>310</v>
      </c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19"/>
    </row>
    <row r="112" spans="2:33" ht="18.600000000000001" customHeight="1" x14ac:dyDescent="0.2">
      <c r="B112" s="32" t="s">
        <v>429</v>
      </c>
      <c r="C112" s="19"/>
      <c r="D112" s="32" t="s">
        <v>310</v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19"/>
    </row>
    <row r="113" spans="2:33" ht="18.600000000000001" customHeight="1" x14ac:dyDescent="0.2">
      <c r="B113" s="32" t="s">
        <v>430</v>
      </c>
      <c r="C113" s="19"/>
      <c r="D113" s="32" t="s">
        <v>310</v>
      </c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19"/>
    </row>
    <row r="114" spans="2:33" ht="18.600000000000001" customHeight="1" x14ac:dyDescent="0.2">
      <c r="B114" s="32" t="s">
        <v>431</v>
      </c>
      <c r="C114" s="19"/>
      <c r="D114" s="32" t="s">
        <v>310</v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19"/>
    </row>
    <row r="115" spans="2:33" ht="18.600000000000001" customHeight="1" x14ac:dyDescent="0.2">
      <c r="B115" s="32" t="s">
        <v>432</v>
      </c>
      <c r="C115" s="19"/>
      <c r="D115" s="32" t="s">
        <v>310</v>
      </c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19"/>
    </row>
    <row r="116" spans="2:33" ht="18.600000000000001" customHeight="1" x14ac:dyDescent="0.2">
      <c r="B116" s="32" t="s">
        <v>433</v>
      </c>
      <c r="C116" s="19"/>
      <c r="D116" s="32" t="s">
        <v>310</v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19"/>
    </row>
    <row r="117" spans="2:33" ht="18.600000000000001" customHeight="1" x14ac:dyDescent="0.2">
      <c r="B117" s="32" t="s">
        <v>434</v>
      </c>
      <c r="C117" s="19"/>
      <c r="D117" s="32" t="s">
        <v>213</v>
      </c>
      <c r="E117" s="32" t="s">
        <v>1473</v>
      </c>
      <c r="F117" s="32" t="s">
        <v>1474</v>
      </c>
      <c r="G117" s="32" t="s">
        <v>1475</v>
      </c>
      <c r="H117" s="32" t="s">
        <v>1476</v>
      </c>
      <c r="I117" s="32" t="s">
        <v>1477</v>
      </c>
      <c r="J117" s="32" t="s">
        <v>1478</v>
      </c>
      <c r="K117" s="32" t="s">
        <v>1479</v>
      </c>
      <c r="L117" s="32" t="s">
        <v>1480</v>
      </c>
      <c r="M117" s="32" t="s">
        <v>1481</v>
      </c>
      <c r="N117" s="32" t="s">
        <v>1482</v>
      </c>
      <c r="O117" s="32" t="s">
        <v>1483</v>
      </c>
      <c r="P117" s="32" t="s">
        <v>1484</v>
      </c>
      <c r="Q117" s="32" t="s">
        <v>1485</v>
      </c>
      <c r="R117" s="32" t="s">
        <v>1486</v>
      </c>
      <c r="S117" s="32" t="s">
        <v>1487</v>
      </c>
      <c r="T117" s="32" t="s">
        <v>1488</v>
      </c>
      <c r="U117" s="32" t="s">
        <v>1489</v>
      </c>
      <c r="V117" s="32" t="s">
        <v>1490</v>
      </c>
      <c r="W117" s="32" t="s">
        <v>1491</v>
      </c>
      <c r="X117" s="32" t="s">
        <v>1492</v>
      </c>
      <c r="Y117" s="32" t="s">
        <v>1493</v>
      </c>
      <c r="Z117" s="32" t="s">
        <v>1494</v>
      </c>
      <c r="AA117" s="32" t="s">
        <v>1495</v>
      </c>
      <c r="AB117" s="32" t="s">
        <v>1496</v>
      </c>
      <c r="AC117" s="32" t="s">
        <v>1497</v>
      </c>
      <c r="AD117" s="32" t="s">
        <v>1498</v>
      </c>
      <c r="AE117" s="32" t="s">
        <v>1499</v>
      </c>
      <c r="AF117" s="32" t="s">
        <v>1500</v>
      </c>
      <c r="AG117" s="19"/>
    </row>
    <row r="118" spans="2:33" ht="18.600000000000001" customHeight="1" x14ac:dyDescent="0.2">
      <c r="B118" s="32" t="s">
        <v>435</v>
      </c>
      <c r="C118" s="19"/>
      <c r="D118" s="32" t="s">
        <v>310</v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19"/>
    </row>
    <row r="119" spans="2:33" ht="18.600000000000001" customHeight="1" x14ac:dyDescent="0.2">
      <c r="B119" s="32" t="s">
        <v>436</v>
      </c>
      <c r="C119" s="19"/>
      <c r="D119" s="32" t="s">
        <v>310</v>
      </c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19"/>
    </row>
    <row r="120" spans="2:33" ht="18.600000000000001" customHeight="1" x14ac:dyDescent="0.2">
      <c r="B120" s="32" t="s">
        <v>437</v>
      </c>
      <c r="C120" s="19"/>
      <c r="D120" s="32" t="s">
        <v>310</v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19"/>
    </row>
    <row r="121" spans="2:33" ht="18.600000000000001" customHeight="1" x14ac:dyDescent="0.2">
      <c r="B121" s="32" t="s">
        <v>438</v>
      </c>
      <c r="C121" s="19"/>
      <c r="D121" s="32" t="s">
        <v>310</v>
      </c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19"/>
    </row>
    <row r="122" spans="2:33" ht="18.600000000000001" customHeight="1" x14ac:dyDescent="0.2">
      <c r="B122" s="32" t="s">
        <v>439</v>
      </c>
      <c r="C122" s="19"/>
      <c r="D122" s="32" t="s">
        <v>310</v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19"/>
    </row>
    <row r="123" spans="2:33" ht="18.600000000000001" customHeight="1" x14ac:dyDescent="0.2">
      <c r="B123" s="32" t="s">
        <v>440</v>
      </c>
      <c r="C123" s="19"/>
      <c r="D123" s="32" t="s">
        <v>310</v>
      </c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19"/>
    </row>
    <row r="124" spans="2:33" ht="18.600000000000001" customHeight="1" x14ac:dyDescent="0.2">
      <c r="B124" s="32" t="s">
        <v>441</v>
      </c>
      <c r="C124" s="19"/>
      <c r="D124" s="32" t="s">
        <v>310</v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19"/>
    </row>
    <row r="125" spans="2:33" ht="18.600000000000001" customHeight="1" x14ac:dyDescent="0.2">
      <c r="B125" s="32" t="s">
        <v>442</v>
      </c>
      <c r="C125" s="19"/>
      <c r="D125" s="32" t="s">
        <v>310</v>
      </c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19"/>
    </row>
    <row r="126" spans="2:33" ht="18.600000000000001" customHeight="1" x14ac:dyDescent="0.2">
      <c r="B126" s="32" t="s">
        <v>443</v>
      </c>
      <c r="C126" s="19"/>
      <c r="D126" s="32" t="s">
        <v>310</v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19"/>
    </row>
    <row r="127" spans="2:33" ht="18.600000000000001" customHeight="1" x14ac:dyDescent="0.2">
      <c r="B127" s="32" t="s">
        <v>444</v>
      </c>
      <c r="C127" s="19"/>
      <c r="D127" s="32" t="s">
        <v>310</v>
      </c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19"/>
    </row>
    <row r="128" spans="2:33" ht="18.600000000000001" customHeight="1" x14ac:dyDescent="0.2">
      <c r="B128" s="32" t="s">
        <v>445</v>
      </c>
      <c r="C128" s="19"/>
      <c r="D128" s="32" t="s">
        <v>310</v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19"/>
    </row>
    <row r="129" spans="2:33" ht="18.600000000000001" customHeight="1" x14ac:dyDescent="0.2">
      <c r="B129" s="32" t="s">
        <v>446</v>
      </c>
      <c r="C129" s="19"/>
      <c r="D129" s="32" t="s">
        <v>310</v>
      </c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19"/>
    </row>
    <row r="130" spans="2:33" ht="18.600000000000001" customHeight="1" x14ac:dyDescent="0.2">
      <c r="B130" s="32" t="s">
        <v>447</v>
      </c>
      <c r="C130" s="19"/>
      <c r="D130" s="32" t="s">
        <v>310</v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19"/>
    </row>
    <row r="131" spans="2:33" ht="18.600000000000001" customHeight="1" x14ac:dyDescent="0.2">
      <c r="B131" s="32" t="s">
        <v>448</v>
      </c>
      <c r="C131" s="19"/>
      <c r="D131" s="32" t="s">
        <v>310</v>
      </c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19"/>
    </row>
    <row r="132" spans="2:33" ht="18.600000000000001" customHeight="1" x14ac:dyDescent="0.2">
      <c r="B132" s="32" t="s">
        <v>449</v>
      </c>
      <c r="C132" s="19"/>
      <c r="D132" s="32" t="s">
        <v>310</v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19"/>
    </row>
    <row r="133" spans="2:33" ht="18.600000000000001" customHeight="1" x14ac:dyDescent="0.2">
      <c r="B133" s="32" t="s">
        <v>450</v>
      </c>
      <c r="C133" s="19"/>
      <c r="D133" s="32" t="s">
        <v>310</v>
      </c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19"/>
    </row>
    <row r="134" spans="2:33" ht="18.600000000000001" customHeight="1" x14ac:dyDescent="0.2">
      <c r="B134" s="32" t="s">
        <v>451</v>
      </c>
      <c r="C134" s="19"/>
      <c r="D134" s="32" t="s">
        <v>310</v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19"/>
    </row>
    <row r="135" spans="2:33" ht="18.600000000000001" customHeight="1" x14ac:dyDescent="0.2">
      <c r="B135" s="32" t="s">
        <v>452</v>
      </c>
      <c r="C135" s="19"/>
      <c r="D135" s="32" t="s">
        <v>310</v>
      </c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19"/>
    </row>
    <row r="136" spans="2:33" ht="18.600000000000001" customHeight="1" x14ac:dyDescent="0.2">
      <c r="B136" s="32" t="s">
        <v>453</v>
      </c>
      <c r="C136" s="19"/>
      <c r="D136" s="32" t="s">
        <v>310</v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19"/>
    </row>
    <row r="137" spans="2:33" ht="18.600000000000001" customHeight="1" x14ac:dyDescent="0.2">
      <c r="B137" s="32" t="s">
        <v>454</v>
      </c>
      <c r="C137" s="19"/>
      <c r="D137" s="32" t="s">
        <v>310</v>
      </c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19"/>
    </row>
    <row r="138" spans="2:33" ht="18.600000000000001" customHeight="1" x14ac:dyDescent="0.2">
      <c r="B138" s="32" t="s">
        <v>455</v>
      </c>
      <c r="C138" s="19"/>
      <c r="D138" s="32" t="s">
        <v>310</v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19"/>
    </row>
    <row r="139" spans="2:33" ht="18.600000000000001" customHeight="1" x14ac:dyDescent="0.2">
      <c r="B139" s="32" t="s">
        <v>456</v>
      </c>
      <c r="C139" s="19"/>
      <c r="D139" s="32" t="s">
        <v>310</v>
      </c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19"/>
    </row>
    <row r="140" spans="2:33" ht="18.600000000000001" customHeight="1" x14ac:dyDescent="0.2">
      <c r="B140" s="32" t="s">
        <v>457</v>
      </c>
      <c r="C140" s="19"/>
      <c r="D140" s="32" t="s">
        <v>310</v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19"/>
    </row>
    <row r="141" spans="2:33" ht="18.600000000000001" customHeight="1" x14ac:dyDescent="0.2">
      <c r="B141" s="32" t="s">
        <v>458</v>
      </c>
      <c r="C141" s="19"/>
      <c r="D141" s="32" t="s">
        <v>310</v>
      </c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19"/>
    </row>
    <row r="142" spans="2:33" ht="18.600000000000001" customHeight="1" x14ac:dyDescent="0.2">
      <c r="B142" s="32" t="s">
        <v>459</v>
      </c>
      <c r="C142" s="19"/>
      <c r="D142" s="32" t="s">
        <v>310</v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19"/>
    </row>
    <row r="143" spans="2:33" ht="18.600000000000001" customHeight="1" x14ac:dyDescent="0.2">
      <c r="B143" s="32" t="s">
        <v>460</v>
      </c>
      <c r="C143" s="19"/>
      <c r="D143" s="32" t="s">
        <v>310</v>
      </c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19"/>
    </row>
    <row r="144" spans="2:33" ht="18.600000000000001" customHeight="1" x14ac:dyDescent="0.2">
      <c r="B144" s="32" t="s">
        <v>461</v>
      </c>
      <c r="C144" s="19"/>
      <c r="D144" s="32" t="s">
        <v>310</v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19"/>
    </row>
    <row r="145" spans="2:33" ht="18.600000000000001" customHeight="1" x14ac:dyDescent="0.2">
      <c r="B145" s="32" t="s">
        <v>462</v>
      </c>
      <c r="C145" s="19"/>
      <c r="D145" s="32" t="s">
        <v>310</v>
      </c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19"/>
    </row>
    <row r="146" spans="2:33" ht="18.600000000000001" customHeight="1" x14ac:dyDescent="0.2">
      <c r="B146" s="32" t="s">
        <v>463</v>
      </c>
      <c r="C146" s="19"/>
      <c r="D146" s="32" t="s">
        <v>310</v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19"/>
    </row>
    <row r="147" spans="2:33" ht="18.600000000000001" customHeight="1" x14ac:dyDescent="0.2">
      <c r="B147" s="32" t="s">
        <v>464</v>
      </c>
      <c r="C147" s="19"/>
      <c r="D147" s="32" t="s">
        <v>310</v>
      </c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19"/>
    </row>
    <row r="148" spans="2:33" ht="18.600000000000001" customHeight="1" x14ac:dyDescent="0.2">
      <c r="B148" s="32" t="s">
        <v>465</v>
      </c>
      <c r="C148" s="19"/>
      <c r="D148" s="32" t="s">
        <v>310</v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19"/>
    </row>
    <row r="149" spans="2:33" ht="18.600000000000001" customHeight="1" x14ac:dyDescent="0.2">
      <c r="B149" s="32" t="s">
        <v>466</v>
      </c>
      <c r="C149" s="19"/>
      <c r="D149" s="32" t="s">
        <v>310</v>
      </c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19"/>
    </row>
    <row r="150" spans="2:33" ht="18.600000000000001" customHeight="1" x14ac:dyDescent="0.2">
      <c r="B150" s="32" t="s">
        <v>467</v>
      </c>
      <c r="C150" s="19"/>
      <c r="D150" s="32" t="s">
        <v>310</v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19"/>
    </row>
    <row r="151" spans="2:33" ht="18.600000000000001" customHeight="1" x14ac:dyDescent="0.2">
      <c r="B151" s="32" t="s">
        <v>468</v>
      </c>
      <c r="C151" s="19"/>
      <c r="D151" s="32" t="s">
        <v>310</v>
      </c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19"/>
    </row>
    <row r="152" spans="2:33" ht="18.600000000000001" customHeight="1" x14ac:dyDescent="0.2">
      <c r="B152" s="32" t="s">
        <v>469</v>
      </c>
      <c r="C152" s="19"/>
      <c r="D152" s="32" t="s">
        <v>310</v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19"/>
    </row>
    <row r="153" spans="2:33" ht="18.600000000000001" customHeight="1" x14ac:dyDescent="0.2">
      <c r="B153" s="32" t="s">
        <v>470</v>
      </c>
      <c r="C153" s="19"/>
      <c r="D153" s="32" t="s">
        <v>310</v>
      </c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19"/>
    </row>
    <row r="154" spans="2:33" ht="18.600000000000001" customHeight="1" x14ac:dyDescent="0.2">
      <c r="B154" s="32" t="s">
        <v>471</v>
      </c>
      <c r="C154" s="19"/>
      <c r="D154" s="32" t="s">
        <v>310</v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19"/>
    </row>
    <row r="155" spans="2:33" ht="18.600000000000001" customHeight="1" x14ac:dyDescent="0.2">
      <c r="B155" s="32" t="s">
        <v>472</v>
      </c>
      <c r="C155" s="19"/>
      <c r="D155" s="32" t="s">
        <v>310</v>
      </c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19"/>
    </row>
    <row r="156" spans="2:33" ht="18.600000000000001" customHeight="1" x14ac:dyDescent="0.2">
      <c r="B156" s="32" t="s">
        <v>473</v>
      </c>
      <c r="C156" s="19"/>
      <c r="D156" s="32" t="s">
        <v>310</v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19"/>
    </row>
    <row r="157" spans="2:33" ht="18.600000000000001" customHeight="1" x14ac:dyDescent="0.2">
      <c r="B157" s="32" t="s">
        <v>474</v>
      </c>
      <c r="C157" s="19"/>
      <c r="D157" s="32" t="s">
        <v>310</v>
      </c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19"/>
    </row>
    <row r="158" spans="2:33" ht="18.600000000000001" customHeight="1" x14ac:dyDescent="0.2">
      <c r="B158" s="32" t="s">
        <v>475</v>
      </c>
      <c r="C158" s="19"/>
      <c r="D158" s="32" t="s">
        <v>310</v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19"/>
    </row>
    <row r="159" spans="2:33" ht="18.600000000000001" customHeight="1" x14ac:dyDescent="0.2">
      <c r="B159" s="32" t="s">
        <v>476</v>
      </c>
      <c r="C159" s="19"/>
      <c r="D159" s="32" t="s">
        <v>213</v>
      </c>
      <c r="E159" s="32" t="s">
        <v>1501</v>
      </c>
      <c r="F159" s="32" t="s">
        <v>1502</v>
      </c>
      <c r="G159" s="32" t="s">
        <v>1503</v>
      </c>
      <c r="H159" s="32" t="s">
        <v>1504</v>
      </c>
      <c r="I159" s="32" t="s">
        <v>1505</v>
      </c>
      <c r="J159" s="32" t="s">
        <v>1506</v>
      </c>
      <c r="K159" s="32" t="s">
        <v>1507</v>
      </c>
      <c r="L159" s="32" t="s">
        <v>1508</v>
      </c>
      <c r="M159" s="32" t="s">
        <v>1509</v>
      </c>
      <c r="N159" s="32" t="s">
        <v>1510</v>
      </c>
      <c r="O159" s="32" t="s">
        <v>1511</v>
      </c>
      <c r="P159" s="32" t="s">
        <v>1512</v>
      </c>
      <c r="Q159" s="32" t="s">
        <v>1513</v>
      </c>
      <c r="R159" s="32" t="s">
        <v>1514</v>
      </c>
      <c r="S159" s="32" t="s">
        <v>1515</v>
      </c>
      <c r="T159" s="32" t="s">
        <v>1516</v>
      </c>
      <c r="U159" s="32" t="s">
        <v>1517</v>
      </c>
      <c r="V159" s="32" t="s">
        <v>1518</v>
      </c>
      <c r="W159" s="32" t="s">
        <v>1519</v>
      </c>
      <c r="X159" s="32" t="s">
        <v>1520</v>
      </c>
      <c r="Y159" s="32" t="s">
        <v>1521</v>
      </c>
      <c r="Z159" s="32" t="s">
        <v>1522</v>
      </c>
      <c r="AA159" s="32" t="s">
        <v>1523</v>
      </c>
      <c r="AB159" s="32" t="s">
        <v>1524</v>
      </c>
      <c r="AC159" s="32" t="s">
        <v>1525</v>
      </c>
      <c r="AD159" s="32" t="s">
        <v>1526</v>
      </c>
      <c r="AE159" s="32" t="s">
        <v>1527</v>
      </c>
      <c r="AF159" s="32" t="s">
        <v>1528</v>
      </c>
      <c r="AG159" s="19"/>
    </row>
    <row r="160" spans="2:33" ht="18.600000000000001" customHeight="1" x14ac:dyDescent="0.2">
      <c r="B160" s="32" t="s">
        <v>477</v>
      </c>
      <c r="C160" s="19"/>
      <c r="D160" s="32" t="s">
        <v>213</v>
      </c>
      <c r="E160" s="32" t="s">
        <v>1529</v>
      </c>
      <c r="F160" s="32" t="s">
        <v>1530</v>
      </c>
      <c r="G160" s="32" t="s">
        <v>1531</v>
      </c>
      <c r="H160" s="32" t="s">
        <v>1532</v>
      </c>
      <c r="I160" s="32" t="s">
        <v>1533</v>
      </c>
      <c r="J160" s="32" t="s">
        <v>1534</v>
      </c>
      <c r="K160" s="32" t="s">
        <v>1535</v>
      </c>
      <c r="L160" s="32" t="s">
        <v>1536</v>
      </c>
      <c r="M160" s="32" t="s">
        <v>1537</v>
      </c>
      <c r="N160" s="32" t="s">
        <v>1538</v>
      </c>
      <c r="O160" s="32" t="s">
        <v>1539</v>
      </c>
      <c r="P160" s="32" t="s">
        <v>1540</v>
      </c>
      <c r="Q160" s="32" t="s">
        <v>1541</v>
      </c>
      <c r="R160" s="32" t="s">
        <v>1542</v>
      </c>
      <c r="S160" s="32" t="s">
        <v>1543</v>
      </c>
      <c r="T160" s="32" t="s">
        <v>1544</v>
      </c>
      <c r="U160" s="32" t="s">
        <v>1545</v>
      </c>
      <c r="V160" s="32" t="s">
        <v>1546</v>
      </c>
      <c r="W160" s="32" t="s">
        <v>1547</v>
      </c>
      <c r="X160" s="32" t="s">
        <v>1548</v>
      </c>
      <c r="Y160" s="32" t="s">
        <v>1549</v>
      </c>
      <c r="Z160" s="32" t="s">
        <v>1550</v>
      </c>
      <c r="AA160" s="32" t="s">
        <v>1551</v>
      </c>
      <c r="AB160" s="32" t="s">
        <v>1552</v>
      </c>
      <c r="AC160" s="32" t="s">
        <v>1553</v>
      </c>
      <c r="AD160" s="32" t="s">
        <v>1554</v>
      </c>
      <c r="AE160" s="32" t="s">
        <v>1555</v>
      </c>
      <c r="AF160" s="32" t="s">
        <v>1556</v>
      </c>
      <c r="AG160" s="19"/>
    </row>
    <row r="161" spans="2:33" ht="18.600000000000001" customHeight="1" x14ac:dyDescent="0.2">
      <c r="B161" s="32" t="s">
        <v>478</v>
      </c>
      <c r="C161" s="19"/>
      <c r="D161" s="32" t="s">
        <v>310</v>
      </c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19"/>
    </row>
    <row r="162" spans="2:33" ht="18.600000000000001" customHeight="1" x14ac:dyDescent="0.2">
      <c r="B162" s="32" t="s">
        <v>479</v>
      </c>
      <c r="C162" s="19"/>
      <c r="D162" s="32" t="s">
        <v>213</v>
      </c>
      <c r="E162" s="32" t="s">
        <v>1557</v>
      </c>
      <c r="F162" s="32" t="s">
        <v>1558</v>
      </c>
      <c r="G162" s="32" t="s">
        <v>1559</v>
      </c>
      <c r="H162" s="32" t="s">
        <v>1560</v>
      </c>
      <c r="I162" s="32" t="s">
        <v>1561</v>
      </c>
      <c r="J162" s="32" t="s">
        <v>1562</v>
      </c>
      <c r="K162" s="32" t="s">
        <v>1563</v>
      </c>
      <c r="L162" s="32" t="s">
        <v>1564</v>
      </c>
      <c r="M162" s="32" t="s">
        <v>1565</v>
      </c>
      <c r="N162" s="32" t="s">
        <v>1566</v>
      </c>
      <c r="O162" s="32" t="s">
        <v>1567</v>
      </c>
      <c r="P162" s="32" t="s">
        <v>1568</v>
      </c>
      <c r="Q162" s="32" t="s">
        <v>1569</v>
      </c>
      <c r="R162" s="32" t="s">
        <v>1570</v>
      </c>
      <c r="S162" s="32" t="s">
        <v>1571</v>
      </c>
      <c r="T162" s="32" t="s">
        <v>1572</v>
      </c>
      <c r="U162" s="32" t="s">
        <v>1573</v>
      </c>
      <c r="V162" s="32" t="s">
        <v>1574</v>
      </c>
      <c r="W162" s="32" t="s">
        <v>1575</v>
      </c>
      <c r="X162" s="32" t="s">
        <v>1576</v>
      </c>
      <c r="Y162" s="32" t="s">
        <v>1577</v>
      </c>
      <c r="Z162" s="32" t="s">
        <v>1578</v>
      </c>
      <c r="AA162" s="32" t="s">
        <v>1579</v>
      </c>
      <c r="AB162" s="32" t="s">
        <v>1580</v>
      </c>
      <c r="AC162" s="32" t="s">
        <v>1581</v>
      </c>
      <c r="AD162" s="32" t="s">
        <v>1582</v>
      </c>
      <c r="AE162" s="32" t="s">
        <v>1583</v>
      </c>
      <c r="AF162" s="32" t="s">
        <v>1584</v>
      </c>
      <c r="AG162" s="19"/>
    </row>
    <row r="163" spans="2:33" ht="18.600000000000001" customHeight="1" x14ac:dyDescent="0.2">
      <c r="B163" s="32" t="s">
        <v>480</v>
      </c>
      <c r="C163" s="19"/>
      <c r="D163" s="32" t="s">
        <v>213</v>
      </c>
      <c r="E163" s="32" t="s">
        <v>1585</v>
      </c>
      <c r="F163" s="32" t="s">
        <v>1586</v>
      </c>
      <c r="G163" s="32" t="s">
        <v>1587</v>
      </c>
      <c r="H163" s="32" t="s">
        <v>1588</v>
      </c>
      <c r="I163" s="32" t="s">
        <v>1589</v>
      </c>
      <c r="J163" s="32" t="s">
        <v>1590</v>
      </c>
      <c r="K163" s="32" t="s">
        <v>1591</v>
      </c>
      <c r="L163" s="32" t="s">
        <v>1592</v>
      </c>
      <c r="M163" s="32" t="s">
        <v>1593</v>
      </c>
      <c r="N163" s="32" t="s">
        <v>1594</v>
      </c>
      <c r="O163" s="32" t="s">
        <v>1595</v>
      </c>
      <c r="P163" s="32" t="s">
        <v>1596</v>
      </c>
      <c r="Q163" s="32" t="s">
        <v>1597</v>
      </c>
      <c r="R163" s="32" t="s">
        <v>1598</v>
      </c>
      <c r="S163" s="32" t="s">
        <v>1599</v>
      </c>
      <c r="T163" s="32" t="s">
        <v>1600</v>
      </c>
      <c r="U163" s="32" t="s">
        <v>1601</v>
      </c>
      <c r="V163" s="32" t="s">
        <v>1602</v>
      </c>
      <c r="W163" s="32" t="s">
        <v>1603</v>
      </c>
      <c r="X163" s="32" t="s">
        <v>1604</v>
      </c>
      <c r="Y163" s="32" t="s">
        <v>1605</v>
      </c>
      <c r="Z163" s="32" t="s">
        <v>1606</v>
      </c>
      <c r="AA163" s="32" t="s">
        <v>1607</v>
      </c>
      <c r="AB163" s="32" t="s">
        <v>1608</v>
      </c>
      <c r="AC163" s="32" t="s">
        <v>1609</v>
      </c>
      <c r="AD163" s="32" t="s">
        <v>1610</v>
      </c>
      <c r="AE163" s="32" t="s">
        <v>1611</v>
      </c>
      <c r="AF163" s="32" t="s">
        <v>1612</v>
      </c>
      <c r="AG163" s="19"/>
    </row>
    <row r="164" spans="2:33" ht="18.600000000000001" customHeight="1" x14ac:dyDescent="0.2">
      <c r="B164" s="32" t="s">
        <v>481</v>
      </c>
      <c r="C164" s="19"/>
      <c r="D164" s="32" t="s">
        <v>213</v>
      </c>
      <c r="E164" s="32" t="s">
        <v>1613</v>
      </c>
      <c r="F164" s="32" t="s">
        <v>1614</v>
      </c>
      <c r="G164" s="32" t="s">
        <v>1615</v>
      </c>
      <c r="H164" s="32" t="s">
        <v>1616</v>
      </c>
      <c r="I164" s="32" t="s">
        <v>1617</v>
      </c>
      <c r="J164" s="32" t="s">
        <v>1618</v>
      </c>
      <c r="K164" s="32" t="s">
        <v>1619</v>
      </c>
      <c r="L164" s="32" t="s">
        <v>1620</v>
      </c>
      <c r="M164" s="32" t="s">
        <v>1621</v>
      </c>
      <c r="N164" s="32" t="s">
        <v>1622</v>
      </c>
      <c r="O164" s="32" t="s">
        <v>1623</v>
      </c>
      <c r="P164" s="32" t="s">
        <v>1624</v>
      </c>
      <c r="Q164" s="32" t="s">
        <v>1625</v>
      </c>
      <c r="R164" s="32" t="s">
        <v>1626</v>
      </c>
      <c r="S164" s="32" t="s">
        <v>1627</v>
      </c>
      <c r="T164" s="32" t="s">
        <v>1628</v>
      </c>
      <c r="U164" s="32" t="s">
        <v>1629</v>
      </c>
      <c r="V164" s="32" t="s">
        <v>1630</v>
      </c>
      <c r="W164" s="32" t="s">
        <v>1631</v>
      </c>
      <c r="X164" s="32" t="s">
        <v>1632</v>
      </c>
      <c r="Y164" s="32" t="s">
        <v>1633</v>
      </c>
      <c r="Z164" s="32" t="s">
        <v>1634</v>
      </c>
      <c r="AA164" s="32" t="s">
        <v>1635</v>
      </c>
      <c r="AB164" s="32" t="s">
        <v>1636</v>
      </c>
      <c r="AC164" s="32" t="s">
        <v>1637</v>
      </c>
      <c r="AD164" s="32" t="s">
        <v>1638</v>
      </c>
      <c r="AE164" s="32" t="s">
        <v>1639</v>
      </c>
      <c r="AF164" s="32" t="s">
        <v>1640</v>
      </c>
      <c r="AG164" s="19"/>
    </row>
    <row r="165" spans="2:33" ht="18.600000000000001" customHeight="1" x14ac:dyDescent="0.2">
      <c r="B165" s="32" t="s">
        <v>2111</v>
      </c>
      <c r="C165" s="19"/>
      <c r="D165" s="42" t="s">
        <v>485</v>
      </c>
      <c r="E165" s="32" t="s">
        <v>2127</v>
      </c>
      <c r="F165" s="32" t="s">
        <v>2128</v>
      </c>
      <c r="G165" s="32" t="s">
        <v>2129</v>
      </c>
      <c r="H165" s="32" t="s">
        <v>2130</v>
      </c>
      <c r="I165" s="32" t="s">
        <v>2131</v>
      </c>
      <c r="J165" s="32" t="s">
        <v>2132</v>
      </c>
      <c r="K165" s="32" t="s">
        <v>2133</v>
      </c>
      <c r="L165" s="32" t="s">
        <v>2134</v>
      </c>
      <c r="M165" s="32" t="s">
        <v>2135</v>
      </c>
      <c r="N165" s="32" t="s">
        <v>2136</v>
      </c>
      <c r="O165" s="32" t="s">
        <v>2137</v>
      </c>
      <c r="P165" s="32" t="s">
        <v>2138</v>
      </c>
      <c r="Q165" s="32" t="s">
        <v>2139</v>
      </c>
      <c r="R165" s="32" t="s">
        <v>2140</v>
      </c>
      <c r="S165" s="32" t="s">
        <v>2141</v>
      </c>
      <c r="T165" s="32" t="s">
        <v>2142</v>
      </c>
      <c r="U165" s="32" t="s">
        <v>2143</v>
      </c>
      <c r="V165" s="32" t="s">
        <v>2144</v>
      </c>
      <c r="W165" s="32" t="s">
        <v>2145</v>
      </c>
      <c r="X165" s="32" t="s">
        <v>2146</v>
      </c>
      <c r="Y165" s="32" t="s">
        <v>2147</v>
      </c>
      <c r="Z165" s="32" t="s">
        <v>2148</v>
      </c>
      <c r="AA165" s="32" t="s">
        <v>2149</v>
      </c>
      <c r="AB165" s="32" t="s">
        <v>2150</v>
      </c>
      <c r="AC165" s="32" t="s">
        <v>2151</v>
      </c>
      <c r="AD165" s="32" t="s">
        <v>2152</v>
      </c>
      <c r="AE165" s="32" t="s">
        <v>2153</v>
      </c>
      <c r="AF165" s="32" t="s">
        <v>2154</v>
      </c>
      <c r="AG165" s="19"/>
    </row>
    <row r="166" spans="2:33" ht="18.600000000000001" customHeight="1" x14ac:dyDescent="0.2">
      <c r="B166" s="32" t="s">
        <v>2113</v>
      </c>
      <c r="C166" s="19"/>
      <c r="D166" s="32" t="s">
        <v>485</v>
      </c>
      <c r="E166" s="32" t="s">
        <v>2155</v>
      </c>
      <c r="F166" s="32" t="s">
        <v>2156</v>
      </c>
      <c r="G166" s="32" t="s">
        <v>2157</v>
      </c>
      <c r="H166" s="32" t="s">
        <v>2158</v>
      </c>
      <c r="I166" s="32" t="s">
        <v>2159</v>
      </c>
      <c r="J166" s="32" t="s">
        <v>2160</v>
      </c>
      <c r="K166" s="32" t="s">
        <v>2161</v>
      </c>
      <c r="L166" s="32" t="s">
        <v>2162</v>
      </c>
      <c r="M166" s="32" t="s">
        <v>2163</v>
      </c>
      <c r="N166" s="32" t="s">
        <v>2164</v>
      </c>
      <c r="O166" s="32" t="s">
        <v>2165</v>
      </c>
      <c r="P166" s="32" t="s">
        <v>2166</v>
      </c>
      <c r="Q166" s="32" t="s">
        <v>2167</v>
      </c>
      <c r="R166" s="32" t="s">
        <v>2168</v>
      </c>
      <c r="S166" s="32" t="s">
        <v>2169</v>
      </c>
      <c r="T166" s="32" t="s">
        <v>2170</v>
      </c>
      <c r="U166" s="32" t="s">
        <v>2171</v>
      </c>
      <c r="V166" s="32" t="s">
        <v>2172</v>
      </c>
      <c r="W166" s="32" t="s">
        <v>2173</v>
      </c>
      <c r="X166" s="32" t="s">
        <v>2174</v>
      </c>
      <c r="Y166" s="32" t="s">
        <v>2175</v>
      </c>
      <c r="Z166" s="32" t="s">
        <v>2176</v>
      </c>
      <c r="AA166" s="32" t="s">
        <v>2177</v>
      </c>
      <c r="AB166" s="32" t="s">
        <v>2178</v>
      </c>
      <c r="AC166" s="32" t="s">
        <v>2179</v>
      </c>
      <c r="AD166" s="32" t="s">
        <v>2180</v>
      </c>
      <c r="AE166" s="32" t="s">
        <v>2181</v>
      </c>
      <c r="AF166" s="32" t="s">
        <v>2182</v>
      </c>
      <c r="AG166" s="19"/>
    </row>
    <row r="167" spans="2:33" ht="18.600000000000001" customHeight="1" x14ac:dyDescent="0.2">
      <c r="B167" s="32" t="s">
        <v>2114</v>
      </c>
      <c r="C167" s="19"/>
      <c r="D167" s="32" t="s">
        <v>485</v>
      </c>
      <c r="E167" s="32" t="s">
        <v>2183</v>
      </c>
      <c r="F167" s="32" t="s">
        <v>2184</v>
      </c>
      <c r="G167" s="32" t="s">
        <v>2185</v>
      </c>
      <c r="H167" s="32" t="s">
        <v>2186</v>
      </c>
      <c r="I167" s="32" t="s">
        <v>2187</v>
      </c>
      <c r="J167" s="32" t="s">
        <v>2188</v>
      </c>
      <c r="K167" s="32" t="s">
        <v>2189</v>
      </c>
      <c r="L167" s="32" t="s">
        <v>2190</v>
      </c>
      <c r="M167" s="32" t="s">
        <v>2191</v>
      </c>
      <c r="N167" s="32" t="s">
        <v>2192</v>
      </c>
      <c r="O167" s="32" t="s">
        <v>2193</v>
      </c>
      <c r="P167" s="32" t="s">
        <v>2194</v>
      </c>
      <c r="Q167" s="32" t="s">
        <v>2195</v>
      </c>
      <c r="R167" s="32" t="s">
        <v>2196</v>
      </c>
      <c r="S167" s="32" t="s">
        <v>2197</v>
      </c>
      <c r="T167" s="32" t="s">
        <v>2198</v>
      </c>
      <c r="U167" s="32" t="s">
        <v>2199</v>
      </c>
      <c r="V167" s="32" t="s">
        <v>2200</v>
      </c>
      <c r="W167" s="32" t="s">
        <v>2201</v>
      </c>
      <c r="X167" s="32" t="s">
        <v>2202</v>
      </c>
      <c r="Y167" s="32" t="s">
        <v>2203</v>
      </c>
      <c r="Z167" s="32" t="s">
        <v>2204</v>
      </c>
      <c r="AA167" s="32" t="s">
        <v>2205</v>
      </c>
      <c r="AB167" s="32" t="s">
        <v>2206</v>
      </c>
      <c r="AC167" s="32" t="s">
        <v>2207</v>
      </c>
      <c r="AD167" s="32" t="s">
        <v>2208</v>
      </c>
      <c r="AE167" s="32" t="s">
        <v>2209</v>
      </c>
      <c r="AF167" s="32" t="s">
        <v>2210</v>
      </c>
      <c r="AG167" s="19"/>
    </row>
    <row r="168" spans="2:33" ht="18.600000000000001" customHeight="1" x14ac:dyDescent="0.2">
      <c r="B168" s="32" t="s">
        <v>2115</v>
      </c>
      <c r="C168" s="19"/>
      <c r="D168" s="32" t="s">
        <v>485</v>
      </c>
      <c r="E168" s="32" t="s">
        <v>2211</v>
      </c>
      <c r="F168" s="32" t="s">
        <v>2212</v>
      </c>
      <c r="G168" s="32" t="s">
        <v>2213</v>
      </c>
      <c r="H168" s="32" t="s">
        <v>2214</v>
      </c>
      <c r="I168" s="32" t="s">
        <v>2215</v>
      </c>
      <c r="J168" s="32" t="s">
        <v>2216</v>
      </c>
      <c r="K168" s="32" t="s">
        <v>2217</v>
      </c>
      <c r="L168" s="32" t="s">
        <v>2218</v>
      </c>
      <c r="M168" s="32" t="s">
        <v>2219</v>
      </c>
      <c r="N168" s="32" t="s">
        <v>2220</v>
      </c>
      <c r="O168" s="32" t="s">
        <v>2221</v>
      </c>
      <c r="P168" s="32" t="s">
        <v>2222</v>
      </c>
      <c r="Q168" s="32" t="s">
        <v>2223</v>
      </c>
      <c r="R168" s="32" t="s">
        <v>2224</v>
      </c>
      <c r="S168" s="32" t="s">
        <v>2225</v>
      </c>
      <c r="T168" s="32" t="s">
        <v>2226</v>
      </c>
      <c r="U168" s="32" t="s">
        <v>2227</v>
      </c>
      <c r="V168" s="32" t="s">
        <v>2228</v>
      </c>
      <c r="W168" s="32" t="s">
        <v>2229</v>
      </c>
      <c r="X168" s="32" t="s">
        <v>2230</v>
      </c>
      <c r="Y168" s="32" t="s">
        <v>2231</v>
      </c>
      <c r="Z168" s="32" t="s">
        <v>2232</v>
      </c>
      <c r="AA168" s="32" t="s">
        <v>2233</v>
      </c>
      <c r="AB168" s="32" t="s">
        <v>2234</v>
      </c>
      <c r="AC168" s="32" t="s">
        <v>2235</v>
      </c>
      <c r="AD168" s="32" t="s">
        <v>2236</v>
      </c>
      <c r="AE168" s="32" t="s">
        <v>2237</v>
      </c>
      <c r="AF168" s="32" t="s">
        <v>2238</v>
      </c>
      <c r="AG168" s="19"/>
    </row>
    <row r="169" spans="2:33" ht="18.600000000000001" customHeight="1" x14ac:dyDescent="0.2">
      <c r="B169" s="32" t="s">
        <v>482</v>
      </c>
      <c r="C169" s="19"/>
      <c r="D169" s="32" t="s">
        <v>310</v>
      </c>
      <c r="E169" s="37" t="s">
        <v>483</v>
      </c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19"/>
    </row>
    <row r="170" spans="2:33" ht="18.600000000000001" customHeight="1" x14ac:dyDescent="0.2">
      <c r="B170" s="32" t="s">
        <v>484</v>
      </c>
      <c r="C170" s="19"/>
      <c r="D170" s="32" t="s">
        <v>485</v>
      </c>
      <c r="E170" s="32" t="s">
        <v>1641</v>
      </c>
      <c r="F170" s="32" t="s">
        <v>1642</v>
      </c>
      <c r="G170" s="32" t="s">
        <v>1643</v>
      </c>
      <c r="H170" s="32" t="s">
        <v>1644</v>
      </c>
      <c r="I170" s="32" t="s">
        <v>1645</v>
      </c>
      <c r="J170" s="32" t="s">
        <v>1646</v>
      </c>
      <c r="K170" s="32" t="s">
        <v>1647</v>
      </c>
      <c r="L170" s="32" t="s">
        <v>1648</v>
      </c>
      <c r="M170" s="32" t="s">
        <v>1649</v>
      </c>
      <c r="N170" s="32" t="s">
        <v>1650</v>
      </c>
      <c r="O170" s="32" t="s">
        <v>1651</v>
      </c>
      <c r="P170" s="32" t="s">
        <v>1652</v>
      </c>
      <c r="Q170" s="32" t="s">
        <v>1653</v>
      </c>
      <c r="R170" s="32" t="s">
        <v>1654</v>
      </c>
      <c r="S170" s="32" t="s">
        <v>1655</v>
      </c>
      <c r="T170" s="32" t="s">
        <v>1656</v>
      </c>
      <c r="U170" s="32" t="s">
        <v>1657</v>
      </c>
      <c r="V170" s="32" t="s">
        <v>1658</v>
      </c>
      <c r="W170" s="32" t="s">
        <v>1659</v>
      </c>
      <c r="X170" s="32" t="s">
        <v>1660</v>
      </c>
      <c r="Y170" s="32" t="s">
        <v>1661</v>
      </c>
      <c r="Z170" s="32" t="s">
        <v>1662</v>
      </c>
      <c r="AA170" s="32" t="s">
        <v>1663</v>
      </c>
      <c r="AB170" s="32" t="s">
        <v>1664</v>
      </c>
      <c r="AC170" s="32" t="s">
        <v>1665</v>
      </c>
      <c r="AD170" s="32" t="s">
        <v>1666</v>
      </c>
      <c r="AE170" s="32" t="s">
        <v>1667</v>
      </c>
      <c r="AF170" s="32" t="s">
        <v>1668</v>
      </c>
      <c r="AG170" s="19"/>
    </row>
    <row r="171" spans="2:33" ht="18.600000000000001" customHeight="1" x14ac:dyDescent="0.2">
      <c r="B171" s="32" t="s">
        <v>486</v>
      </c>
      <c r="C171" s="19"/>
      <c r="D171" s="32" t="s">
        <v>485</v>
      </c>
      <c r="E171" s="32" t="s">
        <v>1669</v>
      </c>
      <c r="F171" s="32" t="s">
        <v>1670</v>
      </c>
      <c r="G171" s="32" t="s">
        <v>1671</v>
      </c>
      <c r="H171" s="32" t="s">
        <v>1672</v>
      </c>
      <c r="I171" s="32" t="s">
        <v>1673</v>
      </c>
      <c r="J171" s="32" t="s">
        <v>1674</v>
      </c>
      <c r="K171" s="32" t="s">
        <v>1675</v>
      </c>
      <c r="L171" s="32" t="s">
        <v>1676</v>
      </c>
      <c r="M171" s="32" t="s">
        <v>1677</v>
      </c>
      <c r="N171" s="32" t="s">
        <v>1678</v>
      </c>
      <c r="O171" s="32" t="s">
        <v>1679</v>
      </c>
      <c r="P171" s="32" t="s">
        <v>1680</v>
      </c>
      <c r="Q171" s="32" t="s">
        <v>1681</v>
      </c>
      <c r="R171" s="32" t="s">
        <v>1682</v>
      </c>
      <c r="S171" s="32" t="s">
        <v>1683</v>
      </c>
      <c r="T171" s="32" t="s">
        <v>1684</v>
      </c>
      <c r="U171" s="32" t="s">
        <v>1685</v>
      </c>
      <c r="V171" s="32" t="s">
        <v>1686</v>
      </c>
      <c r="W171" s="32" t="s">
        <v>1687</v>
      </c>
      <c r="X171" s="32" t="s">
        <v>1688</v>
      </c>
      <c r="Y171" s="32" t="s">
        <v>1689</v>
      </c>
      <c r="Z171" s="32" t="s">
        <v>1690</v>
      </c>
      <c r="AA171" s="32" t="s">
        <v>1691</v>
      </c>
      <c r="AB171" s="32" t="s">
        <v>1692</v>
      </c>
      <c r="AC171" s="32" t="s">
        <v>1693</v>
      </c>
      <c r="AD171" s="32" t="s">
        <v>1694</v>
      </c>
      <c r="AE171" s="32" t="s">
        <v>1695</v>
      </c>
      <c r="AF171" s="32" t="s">
        <v>1696</v>
      </c>
      <c r="AG171" s="19"/>
    </row>
    <row r="172" spans="2:33" ht="18.600000000000001" customHeight="1" x14ac:dyDescent="0.2">
      <c r="B172" s="32" t="s">
        <v>487</v>
      </c>
      <c r="C172" s="19"/>
      <c r="D172" s="32" t="s">
        <v>485</v>
      </c>
      <c r="E172" s="32" t="s">
        <v>488</v>
      </c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19"/>
    </row>
    <row r="173" spans="2:33" ht="18.600000000000001" customHeight="1" x14ac:dyDescent="0.2">
      <c r="B173" s="32" t="s">
        <v>489</v>
      </c>
      <c r="C173" s="19"/>
      <c r="D173" s="32" t="s">
        <v>485</v>
      </c>
      <c r="E173" s="32" t="s">
        <v>488</v>
      </c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19"/>
    </row>
    <row r="174" spans="2:33" ht="18.600000000000001" customHeight="1" x14ac:dyDescent="0.2">
      <c r="B174" s="32" t="s">
        <v>490</v>
      </c>
      <c r="C174" s="19"/>
      <c r="D174" s="32" t="s">
        <v>485</v>
      </c>
      <c r="E174" s="32" t="s">
        <v>1697</v>
      </c>
      <c r="F174" s="32" t="s">
        <v>1698</v>
      </c>
      <c r="G174" s="32" t="s">
        <v>1699</v>
      </c>
      <c r="H174" s="32" t="s">
        <v>1700</v>
      </c>
      <c r="I174" s="32" t="s">
        <v>1701</v>
      </c>
      <c r="J174" s="32" t="s">
        <v>1702</v>
      </c>
      <c r="K174" s="32" t="s">
        <v>1703</v>
      </c>
      <c r="L174" s="32" t="s">
        <v>1704</v>
      </c>
      <c r="M174" s="32" t="s">
        <v>1705</v>
      </c>
      <c r="N174" s="32" t="s">
        <v>1706</v>
      </c>
      <c r="O174" s="32" t="s">
        <v>1707</v>
      </c>
      <c r="P174" s="32" t="s">
        <v>1708</v>
      </c>
      <c r="Q174" s="32" t="s">
        <v>1709</v>
      </c>
      <c r="R174" s="32" t="s">
        <v>1710</v>
      </c>
      <c r="S174" s="32" t="s">
        <v>1711</v>
      </c>
      <c r="T174" s="32" t="s">
        <v>1712</v>
      </c>
      <c r="U174" s="32" t="s">
        <v>1713</v>
      </c>
      <c r="V174" s="32" t="s">
        <v>1714</v>
      </c>
      <c r="W174" s="32" t="s">
        <v>1715</v>
      </c>
      <c r="X174" s="32" t="s">
        <v>1716</v>
      </c>
      <c r="Y174" s="32" t="s">
        <v>1717</v>
      </c>
      <c r="Z174" s="32" t="s">
        <v>1718</v>
      </c>
      <c r="AA174" s="32" t="s">
        <v>1719</v>
      </c>
      <c r="AB174" s="32" t="s">
        <v>1720</v>
      </c>
      <c r="AC174" s="32" t="s">
        <v>1721</v>
      </c>
      <c r="AD174" s="32" t="s">
        <v>1722</v>
      </c>
      <c r="AE174" s="32" t="s">
        <v>1723</v>
      </c>
      <c r="AF174" s="32" t="s">
        <v>1724</v>
      </c>
      <c r="AG174" s="19"/>
    </row>
    <row r="175" spans="2:33" ht="18.600000000000001" customHeight="1" x14ac:dyDescent="0.2">
      <c r="B175" s="32" t="s">
        <v>2116</v>
      </c>
      <c r="C175" s="19"/>
      <c r="D175" s="32" t="s">
        <v>485</v>
      </c>
      <c r="E175" s="32" t="s">
        <v>1725</v>
      </c>
      <c r="F175" s="32" t="s">
        <v>1726</v>
      </c>
      <c r="G175" s="32" t="s">
        <v>1727</v>
      </c>
      <c r="H175" s="32" t="s">
        <v>1728</v>
      </c>
      <c r="I175" s="32" t="s">
        <v>1729</v>
      </c>
      <c r="J175" s="32" t="s">
        <v>1730</v>
      </c>
      <c r="K175" s="32" t="s">
        <v>1731</v>
      </c>
      <c r="L175" s="32" t="s">
        <v>1732</v>
      </c>
      <c r="M175" s="32" t="s">
        <v>1733</v>
      </c>
      <c r="N175" s="32" t="s">
        <v>1734</v>
      </c>
      <c r="O175" s="32" t="s">
        <v>1735</v>
      </c>
      <c r="P175" s="32" t="s">
        <v>1736</v>
      </c>
      <c r="Q175" s="32" t="s">
        <v>1737</v>
      </c>
      <c r="R175" s="32" t="s">
        <v>1738</v>
      </c>
      <c r="S175" s="32" t="s">
        <v>1739</v>
      </c>
      <c r="T175" s="32" t="s">
        <v>1740</v>
      </c>
      <c r="U175" s="32" t="s">
        <v>1741</v>
      </c>
      <c r="V175" s="32" t="s">
        <v>1742</v>
      </c>
      <c r="W175" s="32" t="s">
        <v>1743</v>
      </c>
      <c r="X175" s="32" t="s">
        <v>1744</v>
      </c>
      <c r="Y175" s="32" t="s">
        <v>1745</v>
      </c>
      <c r="Z175" s="32" t="s">
        <v>1746</v>
      </c>
      <c r="AA175" s="32" t="s">
        <v>1747</v>
      </c>
      <c r="AB175" s="32" t="s">
        <v>1748</v>
      </c>
      <c r="AC175" s="32" t="s">
        <v>1749</v>
      </c>
      <c r="AD175" s="32" t="s">
        <v>1750</v>
      </c>
      <c r="AE175" s="32" t="s">
        <v>1751</v>
      </c>
      <c r="AF175" s="32" t="s">
        <v>1752</v>
      </c>
      <c r="AG175" s="19"/>
    </row>
    <row r="176" spans="2:33" ht="18.600000000000001" customHeight="1" x14ac:dyDescent="0.2">
      <c r="B176" s="32" t="s">
        <v>2117</v>
      </c>
      <c r="C176" s="19"/>
      <c r="D176" s="32" t="s">
        <v>485</v>
      </c>
      <c r="E176" s="32" t="s">
        <v>2239</v>
      </c>
      <c r="F176" s="32" t="s">
        <v>2240</v>
      </c>
      <c r="G176" s="32" t="s">
        <v>2241</v>
      </c>
      <c r="H176" s="32" t="s">
        <v>2242</v>
      </c>
      <c r="I176" s="32" t="s">
        <v>2243</v>
      </c>
      <c r="J176" s="32" t="s">
        <v>2244</v>
      </c>
      <c r="K176" s="32" t="s">
        <v>2245</v>
      </c>
      <c r="L176" s="32" t="s">
        <v>2246</v>
      </c>
      <c r="M176" s="32" t="s">
        <v>2247</v>
      </c>
      <c r="N176" s="32" t="s">
        <v>2248</v>
      </c>
      <c r="O176" s="32" t="s">
        <v>2249</v>
      </c>
      <c r="P176" s="32" t="s">
        <v>2250</v>
      </c>
      <c r="Q176" s="32" t="s">
        <v>2251</v>
      </c>
      <c r="R176" s="32" t="s">
        <v>2252</v>
      </c>
      <c r="S176" s="32" t="s">
        <v>2253</v>
      </c>
      <c r="T176" s="32" t="s">
        <v>2254</v>
      </c>
      <c r="U176" s="32" t="s">
        <v>2255</v>
      </c>
      <c r="V176" s="32" t="s">
        <v>2256</v>
      </c>
      <c r="W176" s="32" t="s">
        <v>2257</v>
      </c>
      <c r="X176" s="32" t="s">
        <v>2258</v>
      </c>
      <c r="Y176" s="32" t="s">
        <v>2259</v>
      </c>
      <c r="Z176" s="32" t="s">
        <v>2260</v>
      </c>
      <c r="AA176" s="32" t="s">
        <v>2261</v>
      </c>
      <c r="AB176" s="32" t="s">
        <v>2262</v>
      </c>
      <c r="AC176" s="32" t="s">
        <v>2263</v>
      </c>
      <c r="AD176" s="32" t="s">
        <v>2264</v>
      </c>
      <c r="AE176" s="32" t="s">
        <v>2265</v>
      </c>
      <c r="AF176" s="32" t="s">
        <v>2266</v>
      </c>
      <c r="AG176" s="19"/>
    </row>
    <row r="177" spans="2:33" ht="18.600000000000001" customHeight="1" x14ac:dyDescent="0.2">
      <c r="B177" s="32" t="s">
        <v>491</v>
      </c>
      <c r="C177" s="19"/>
      <c r="D177" s="32" t="s">
        <v>485</v>
      </c>
      <c r="E177" s="32" t="s">
        <v>2267</v>
      </c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19"/>
    </row>
    <row r="178" spans="2:33" ht="18.600000000000001" customHeight="1" x14ac:dyDescent="0.2">
      <c r="B178" s="32" t="s">
        <v>492</v>
      </c>
      <c r="C178" s="19"/>
      <c r="D178" s="32" t="s">
        <v>485</v>
      </c>
      <c r="E178" s="32" t="s">
        <v>2267</v>
      </c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19"/>
    </row>
    <row r="179" spans="2:33" ht="18.600000000000001" customHeight="1" x14ac:dyDescent="0.2">
      <c r="B179" s="32" t="s">
        <v>493</v>
      </c>
      <c r="C179" s="19"/>
      <c r="D179" s="32" t="s">
        <v>485</v>
      </c>
      <c r="E179" s="32" t="s">
        <v>2267</v>
      </c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19"/>
    </row>
    <row r="180" spans="2:33" ht="18.600000000000001" customHeight="1" x14ac:dyDescent="0.2">
      <c r="B180" s="32" t="s">
        <v>494</v>
      </c>
      <c r="C180" s="19"/>
      <c r="D180" s="32" t="s">
        <v>485</v>
      </c>
      <c r="E180" s="32" t="s">
        <v>2267</v>
      </c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19"/>
    </row>
    <row r="181" spans="2:33" ht="18.600000000000001" customHeight="1" x14ac:dyDescent="0.2">
      <c r="B181" s="32" t="s">
        <v>495</v>
      </c>
      <c r="C181" s="19"/>
      <c r="D181" s="32" t="s">
        <v>485</v>
      </c>
      <c r="E181" s="32" t="s">
        <v>1753</v>
      </c>
      <c r="F181" s="32" t="s">
        <v>1754</v>
      </c>
      <c r="G181" s="32" t="s">
        <v>1755</v>
      </c>
      <c r="H181" s="32" t="s">
        <v>1756</v>
      </c>
      <c r="I181" s="32" t="s">
        <v>1757</v>
      </c>
      <c r="J181" s="32" t="s">
        <v>1758</v>
      </c>
      <c r="K181" s="32" t="s">
        <v>1759</v>
      </c>
      <c r="L181" s="32" t="s">
        <v>1760</v>
      </c>
      <c r="M181" s="32" t="s">
        <v>1761</v>
      </c>
      <c r="N181" s="32" t="s">
        <v>1762</v>
      </c>
      <c r="O181" s="32" t="s">
        <v>1763</v>
      </c>
      <c r="P181" s="32" t="s">
        <v>1764</v>
      </c>
      <c r="Q181" s="32" t="s">
        <v>1765</v>
      </c>
      <c r="R181" s="32" t="s">
        <v>1766</v>
      </c>
      <c r="S181" s="32" t="s">
        <v>1767</v>
      </c>
      <c r="T181" s="32" t="s">
        <v>1768</v>
      </c>
      <c r="U181" s="32" t="s">
        <v>1769</v>
      </c>
      <c r="V181" s="32" t="s">
        <v>1770</v>
      </c>
      <c r="W181" s="32" t="s">
        <v>1771</v>
      </c>
      <c r="X181" s="32" t="s">
        <v>1772</v>
      </c>
      <c r="Y181" s="32" t="s">
        <v>1773</v>
      </c>
      <c r="Z181" s="32" t="s">
        <v>1774</v>
      </c>
      <c r="AA181" s="32" t="s">
        <v>1775</v>
      </c>
      <c r="AB181" s="32" t="s">
        <v>1776</v>
      </c>
      <c r="AC181" s="32" t="s">
        <v>1777</v>
      </c>
      <c r="AD181" s="32" t="s">
        <v>1778</v>
      </c>
      <c r="AE181" s="32" t="s">
        <v>1779</v>
      </c>
      <c r="AF181" s="32" t="s">
        <v>1780</v>
      </c>
      <c r="AG181" s="19"/>
    </row>
    <row r="182" spans="2:33" ht="18.600000000000001" customHeight="1" x14ac:dyDescent="0.2">
      <c r="B182" s="32" t="s">
        <v>496</v>
      </c>
      <c r="C182" s="19"/>
      <c r="D182" s="32" t="s">
        <v>485</v>
      </c>
      <c r="E182" s="32" t="s">
        <v>497</v>
      </c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19"/>
    </row>
    <row r="183" spans="2:33" ht="18.600000000000001" customHeight="1" x14ac:dyDescent="0.2">
      <c r="B183" s="32" t="s">
        <v>498</v>
      </c>
      <c r="C183" s="19"/>
      <c r="D183" s="32" t="s">
        <v>485</v>
      </c>
      <c r="E183" s="32" t="s">
        <v>497</v>
      </c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19"/>
    </row>
    <row r="184" spans="2:33" ht="18.600000000000001" customHeight="1" x14ac:dyDescent="0.2">
      <c r="B184" s="32" t="s">
        <v>499</v>
      </c>
      <c r="C184" s="19"/>
      <c r="D184" s="32" t="s">
        <v>485</v>
      </c>
      <c r="E184" s="32" t="s">
        <v>497</v>
      </c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19"/>
    </row>
    <row r="185" spans="2:33" ht="18.600000000000001" customHeight="1" x14ac:dyDescent="0.2">
      <c r="B185" s="32" t="s">
        <v>500</v>
      </c>
      <c r="C185" s="19"/>
      <c r="D185" s="32" t="s">
        <v>485</v>
      </c>
      <c r="E185" s="32" t="s">
        <v>1781</v>
      </c>
      <c r="F185" s="32" t="s">
        <v>1782</v>
      </c>
      <c r="G185" s="32" t="s">
        <v>1783</v>
      </c>
      <c r="H185" s="32" t="s">
        <v>1784</v>
      </c>
      <c r="I185" s="32" t="s">
        <v>1785</v>
      </c>
      <c r="J185" s="32" t="s">
        <v>1786</v>
      </c>
      <c r="K185" s="32" t="s">
        <v>1787</v>
      </c>
      <c r="L185" s="32" t="s">
        <v>1788</v>
      </c>
      <c r="M185" s="32" t="s">
        <v>1789</v>
      </c>
      <c r="N185" s="32" t="s">
        <v>1790</v>
      </c>
      <c r="O185" s="32" t="s">
        <v>1791</v>
      </c>
      <c r="P185" s="32" t="s">
        <v>1792</v>
      </c>
      <c r="Q185" s="32" t="s">
        <v>1793</v>
      </c>
      <c r="R185" s="32" t="s">
        <v>1794</v>
      </c>
      <c r="S185" s="32" t="s">
        <v>1795</v>
      </c>
      <c r="T185" s="32" t="s">
        <v>1796</v>
      </c>
      <c r="U185" s="32" t="s">
        <v>1797</v>
      </c>
      <c r="V185" s="32" t="s">
        <v>1798</v>
      </c>
      <c r="W185" s="32" t="s">
        <v>1799</v>
      </c>
      <c r="X185" s="32" t="s">
        <v>1800</v>
      </c>
      <c r="Y185" s="32" t="s">
        <v>1801</v>
      </c>
      <c r="Z185" s="32" t="s">
        <v>1802</v>
      </c>
      <c r="AA185" s="32" t="s">
        <v>1803</v>
      </c>
      <c r="AB185" s="32" t="s">
        <v>1804</v>
      </c>
      <c r="AC185" s="32" t="s">
        <v>1805</v>
      </c>
      <c r="AD185" s="32" t="s">
        <v>1806</v>
      </c>
      <c r="AE185" s="32" t="s">
        <v>1807</v>
      </c>
      <c r="AF185" s="32" t="s">
        <v>1808</v>
      </c>
      <c r="AG185" s="19"/>
    </row>
    <row r="186" spans="2:33" ht="18.600000000000001" customHeight="1" x14ac:dyDescent="0.2">
      <c r="B186" s="32" t="s">
        <v>501</v>
      </c>
      <c r="C186" s="19"/>
      <c r="D186" s="32" t="s">
        <v>485</v>
      </c>
      <c r="E186" s="32" t="s">
        <v>502</v>
      </c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19"/>
    </row>
    <row r="187" spans="2:33" ht="18.600000000000001" customHeight="1" x14ac:dyDescent="0.2">
      <c r="B187" s="32" t="s">
        <v>503</v>
      </c>
      <c r="C187" s="19"/>
      <c r="D187" s="32" t="s">
        <v>485</v>
      </c>
      <c r="E187" s="32" t="s">
        <v>502</v>
      </c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19"/>
    </row>
    <row r="188" spans="2:33" ht="18.600000000000001" customHeight="1" x14ac:dyDescent="0.2">
      <c r="B188" s="32" t="s">
        <v>504</v>
      </c>
      <c r="C188" s="19"/>
      <c r="D188" s="32" t="s">
        <v>485</v>
      </c>
      <c r="E188" s="32" t="s">
        <v>502</v>
      </c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19"/>
    </row>
    <row r="189" spans="2:33" ht="18.600000000000001" customHeight="1" x14ac:dyDescent="0.2">
      <c r="B189" s="32" t="s">
        <v>505</v>
      </c>
      <c r="C189" s="19"/>
      <c r="D189" s="32" t="s">
        <v>485</v>
      </c>
      <c r="E189" s="32" t="s">
        <v>1809</v>
      </c>
      <c r="F189" s="32" t="s">
        <v>1810</v>
      </c>
      <c r="G189" s="32" t="s">
        <v>1811</v>
      </c>
      <c r="H189" s="32" t="s">
        <v>1812</v>
      </c>
      <c r="I189" s="32" t="s">
        <v>1813</v>
      </c>
      <c r="J189" s="32" t="s">
        <v>1814</v>
      </c>
      <c r="K189" s="32" t="s">
        <v>1815</v>
      </c>
      <c r="L189" s="32" t="s">
        <v>1816</v>
      </c>
      <c r="M189" s="32" t="s">
        <v>1817</v>
      </c>
      <c r="N189" s="32" t="s">
        <v>1818</v>
      </c>
      <c r="O189" s="32" t="s">
        <v>1819</v>
      </c>
      <c r="P189" s="32" t="s">
        <v>1820</v>
      </c>
      <c r="Q189" s="32" t="s">
        <v>1821</v>
      </c>
      <c r="R189" s="32" t="s">
        <v>1822</v>
      </c>
      <c r="S189" s="32" t="s">
        <v>1823</v>
      </c>
      <c r="T189" s="32" t="s">
        <v>1824</v>
      </c>
      <c r="U189" s="32" t="s">
        <v>1825</v>
      </c>
      <c r="V189" s="32" t="s">
        <v>1826</v>
      </c>
      <c r="W189" s="32" t="s">
        <v>1827</v>
      </c>
      <c r="X189" s="32" t="s">
        <v>1828</v>
      </c>
      <c r="Y189" s="32" t="s">
        <v>1829</v>
      </c>
      <c r="Z189" s="32" t="s">
        <v>1830</v>
      </c>
      <c r="AA189" s="32" t="s">
        <v>1831</v>
      </c>
      <c r="AB189" s="32" t="s">
        <v>1832</v>
      </c>
      <c r="AC189" s="32" t="s">
        <v>1833</v>
      </c>
      <c r="AD189" s="32" t="s">
        <v>1834</v>
      </c>
      <c r="AE189" s="32" t="s">
        <v>1835</v>
      </c>
      <c r="AF189" s="32" t="s">
        <v>1836</v>
      </c>
      <c r="AG189" s="19"/>
    </row>
    <row r="190" spans="2:33" ht="18.600000000000001" customHeight="1" x14ac:dyDescent="0.2">
      <c r="B190" s="32" t="s">
        <v>506</v>
      </c>
      <c r="C190" s="19"/>
      <c r="D190" s="32" t="s">
        <v>485</v>
      </c>
      <c r="E190" s="32" t="s">
        <v>1837</v>
      </c>
      <c r="F190" s="32" t="s">
        <v>1838</v>
      </c>
      <c r="G190" s="32" t="s">
        <v>1839</v>
      </c>
      <c r="H190" s="32" t="s">
        <v>1840</v>
      </c>
      <c r="I190" s="32" t="s">
        <v>1841</v>
      </c>
      <c r="J190" s="32" t="s">
        <v>1842</v>
      </c>
      <c r="K190" s="32" t="s">
        <v>1843</v>
      </c>
      <c r="L190" s="32" t="s">
        <v>1844</v>
      </c>
      <c r="M190" s="32" t="s">
        <v>1845</v>
      </c>
      <c r="N190" s="32" t="s">
        <v>1846</v>
      </c>
      <c r="O190" s="32" t="s">
        <v>1847</v>
      </c>
      <c r="P190" s="32" t="s">
        <v>1848</v>
      </c>
      <c r="Q190" s="32" t="s">
        <v>1849</v>
      </c>
      <c r="R190" s="32" t="s">
        <v>1850</v>
      </c>
      <c r="S190" s="32" t="s">
        <v>1851</v>
      </c>
      <c r="T190" s="32" t="s">
        <v>1852</v>
      </c>
      <c r="U190" s="32" t="s">
        <v>1853</v>
      </c>
      <c r="V190" s="32" t="s">
        <v>1854</v>
      </c>
      <c r="W190" s="32" t="s">
        <v>1855</v>
      </c>
      <c r="X190" s="32" t="s">
        <v>1856</v>
      </c>
      <c r="Y190" s="32" t="s">
        <v>1857</v>
      </c>
      <c r="Z190" s="32" t="s">
        <v>1858</v>
      </c>
      <c r="AA190" s="32" t="s">
        <v>1859</v>
      </c>
      <c r="AB190" s="32" t="s">
        <v>1860</v>
      </c>
      <c r="AC190" s="32" t="s">
        <v>1861</v>
      </c>
      <c r="AD190" s="32" t="s">
        <v>1862</v>
      </c>
      <c r="AE190" s="32" t="s">
        <v>1863</v>
      </c>
      <c r="AF190" s="32" t="s">
        <v>1864</v>
      </c>
      <c r="AG190" s="19"/>
    </row>
    <row r="191" spans="2:33" ht="18.600000000000001" customHeight="1" x14ac:dyDescent="0.2">
      <c r="B191" s="32" t="s">
        <v>2118</v>
      </c>
      <c r="C191" s="19"/>
      <c r="D191" s="32" t="s">
        <v>485</v>
      </c>
      <c r="E191" s="32" t="s">
        <v>1865</v>
      </c>
      <c r="F191" s="32" t="s">
        <v>1866</v>
      </c>
      <c r="G191" s="32" t="s">
        <v>1867</v>
      </c>
      <c r="H191" s="32" t="s">
        <v>1868</v>
      </c>
      <c r="I191" s="32" t="s">
        <v>1869</v>
      </c>
      <c r="J191" s="32" t="s">
        <v>1870</v>
      </c>
      <c r="K191" s="32" t="s">
        <v>1871</v>
      </c>
      <c r="L191" s="32" t="s">
        <v>1872</v>
      </c>
      <c r="M191" s="32" t="s">
        <v>1873</v>
      </c>
      <c r="N191" s="32" t="s">
        <v>1874</v>
      </c>
      <c r="O191" s="32" t="s">
        <v>1875</v>
      </c>
      <c r="P191" s="32" t="s">
        <v>1876</v>
      </c>
      <c r="Q191" s="32" t="s">
        <v>1877</v>
      </c>
      <c r="R191" s="32" t="s">
        <v>1878</v>
      </c>
      <c r="S191" s="32" t="s">
        <v>1879</v>
      </c>
      <c r="T191" s="32" t="s">
        <v>1880</v>
      </c>
      <c r="U191" s="32" t="s">
        <v>1881</v>
      </c>
      <c r="V191" s="32" t="s">
        <v>1882</v>
      </c>
      <c r="W191" s="32" t="s">
        <v>1883</v>
      </c>
      <c r="X191" s="32" t="s">
        <v>1884</v>
      </c>
      <c r="Y191" s="32" t="s">
        <v>1885</v>
      </c>
      <c r="Z191" s="32" t="s">
        <v>1886</v>
      </c>
      <c r="AA191" s="32" t="s">
        <v>1887</v>
      </c>
      <c r="AB191" s="32" t="s">
        <v>1888</v>
      </c>
      <c r="AC191" s="32" t="s">
        <v>1889</v>
      </c>
      <c r="AD191" s="32" t="s">
        <v>1890</v>
      </c>
      <c r="AE191" s="32" t="s">
        <v>1891</v>
      </c>
      <c r="AF191" s="32" t="s">
        <v>1892</v>
      </c>
      <c r="AG191" s="19"/>
    </row>
    <row r="192" spans="2:33" ht="18.600000000000001" customHeight="1" x14ac:dyDescent="0.2">
      <c r="B192" s="32" t="s">
        <v>2119</v>
      </c>
      <c r="C192" s="19"/>
      <c r="D192" s="32" t="s">
        <v>485</v>
      </c>
      <c r="E192" s="32" t="s">
        <v>2268</v>
      </c>
      <c r="F192" s="32" t="s">
        <v>2269</v>
      </c>
      <c r="G192" s="32" t="s">
        <v>2270</v>
      </c>
      <c r="H192" s="32" t="s">
        <v>2271</v>
      </c>
      <c r="I192" s="32" t="s">
        <v>2272</v>
      </c>
      <c r="J192" s="32" t="s">
        <v>2273</v>
      </c>
      <c r="K192" s="32" t="s">
        <v>2274</v>
      </c>
      <c r="L192" s="32" t="s">
        <v>2275</v>
      </c>
      <c r="M192" s="32" t="s">
        <v>2276</v>
      </c>
      <c r="N192" s="32" t="s">
        <v>2277</v>
      </c>
      <c r="O192" s="32" t="s">
        <v>2278</v>
      </c>
      <c r="P192" s="32" t="s">
        <v>2279</v>
      </c>
      <c r="Q192" s="32" t="s">
        <v>2280</v>
      </c>
      <c r="R192" s="32" t="s">
        <v>2281</v>
      </c>
      <c r="S192" s="32" t="s">
        <v>2282</v>
      </c>
      <c r="T192" s="32" t="s">
        <v>2283</v>
      </c>
      <c r="U192" s="32" t="s">
        <v>2284</v>
      </c>
      <c r="V192" s="32" t="s">
        <v>2285</v>
      </c>
      <c r="W192" s="32" t="s">
        <v>2286</v>
      </c>
      <c r="X192" s="32" t="s">
        <v>2287</v>
      </c>
      <c r="Y192" s="32" t="s">
        <v>2288</v>
      </c>
      <c r="Z192" s="32" t="s">
        <v>2289</v>
      </c>
      <c r="AA192" s="32" t="s">
        <v>2290</v>
      </c>
      <c r="AB192" s="32" t="s">
        <v>2291</v>
      </c>
      <c r="AC192" s="32" t="s">
        <v>2292</v>
      </c>
      <c r="AD192" s="32" t="s">
        <v>2293</v>
      </c>
      <c r="AE192" s="32" t="s">
        <v>2294</v>
      </c>
      <c r="AF192" s="32" t="s">
        <v>2295</v>
      </c>
      <c r="AG192" s="19"/>
    </row>
    <row r="193" spans="2:33" ht="18.600000000000001" customHeight="1" x14ac:dyDescent="0.2">
      <c r="B193" s="32" t="s">
        <v>507</v>
      </c>
      <c r="C193" s="19"/>
      <c r="D193" s="32" t="s">
        <v>485</v>
      </c>
      <c r="E193" s="32" t="s">
        <v>2296</v>
      </c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19"/>
    </row>
    <row r="194" spans="2:33" ht="18.600000000000001" customHeight="1" x14ac:dyDescent="0.2">
      <c r="B194" s="32" t="s">
        <v>508</v>
      </c>
      <c r="C194" s="19"/>
      <c r="D194" s="32" t="s">
        <v>485</v>
      </c>
      <c r="E194" s="32" t="s">
        <v>2296</v>
      </c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19"/>
    </row>
    <row r="195" spans="2:33" ht="18.600000000000001" customHeight="1" x14ac:dyDescent="0.2">
      <c r="B195" s="32" t="s">
        <v>2120</v>
      </c>
      <c r="C195" s="19"/>
      <c r="D195" s="32" t="s">
        <v>485</v>
      </c>
      <c r="E195" s="32" t="s">
        <v>1893</v>
      </c>
      <c r="F195" s="32" t="s">
        <v>1894</v>
      </c>
      <c r="G195" s="32" t="s">
        <v>1895</v>
      </c>
      <c r="H195" s="32" t="s">
        <v>1896</v>
      </c>
      <c r="I195" s="32" t="s">
        <v>1897</v>
      </c>
      <c r="J195" s="32" t="s">
        <v>1898</v>
      </c>
      <c r="K195" s="32" t="s">
        <v>1899</v>
      </c>
      <c r="L195" s="32" t="s">
        <v>1900</v>
      </c>
      <c r="M195" s="32" t="s">
        <v>1901</v>
      </c>
      <c r="N195" s="32" t="s">
        <v>1902</v>
      </c>
      <c r="O195" s="32" t="s">
        <v>1903</v>
      </c>
      <c r="P195" s="32" t="s">
        <v>1904</v>
      </c>
      <c r="Q195" s="32" t="s">
        <v>1905</v>
      </c>
      <c r="R195" s="32" t="s">
        <v>1906</v>
      </c>
      <c r="S195" s="32" t="s">
        <v>1907</v>
      </c>
      <c r="T195" s="32" t="s">
        <v>1908</v>
      </c>
      <c r="U195" s="32" t="s">
        <v>1909</v>
      </c>
      <c r="V195" s="32" t="s">
        <v>1910</v>
      </c>
      <c r="W195" s="32" t="s">
        <v>1911</v>
      </c>
      <c r="X195" s="32" t="s">
        <v>1912</v>
      </c>
      <c r="Y195" s="32" t="s">
        <v>1913</v>
      </c>
      <c r="Z195" s="32" t="s">
        <v>1914</v>
      </c>
      <c r="AA195" s="32" t="s">
        <v>1915</v>
      </c>
      <c r="AB195" s="32" t="s">
        <v>1916</v>
      </c>
      <c r="AC195" s="32" t="s">
        <v>1917</v>
      </c>
      <c r="AD195" s="32" t="s">
        <v>1918</v>
      </c>
      <c r="AE195" s="32" t="s">
        <v>1919</v>
      </c>
      <c r="AF195" s="32" t="s">
        <v>1920</v>
      </c>
      <c r="AG195" s="19"/>
    </row>
    <row r="196" spans="2:33" ht="18.600000000000001" customHeight="1" x14ac:dyDescent="0.2">
      <c r="B196" s="32" t="s">
        <v>2121</v>
      </c>
      <c r="C196" s="19"/>
      <c r="D196" s="32" t="s">
        <v>485</v>
      </c>
      <c r="E196" s="32" t="s">
        <v>2297</v>
      </c>
      <c r="F196" s="32" t="s">
        <v>2298</v>
      </c>
      <c r="G196" s="32" t="s">
        <v>2299</v>
      </c>
      <c r="H196" s="32" t="s">
        <v>2300</v>
      </c>
      <c r="I196" s="32" t="s">
        <v>2301</v>
      </c>
      <c r="J196" s="32" t="s">
        <v>2302</v>
      </c>
      <c r="K196" s="32" t="s">
        <v>2303</v>
      </c>
      <c r="L196" s="32" t="s">
        <v>2304</v>
      </c>
      <c r="M196" s="32" t="s">
        <v>2305</v>
      </c>
      <c r="N196" s="32" t="s">
        <v>2306</v>
      </c>
      <c r="O196" s="32" t="s">
        <v>2307</v>
      </c>
      <c r="P196" s="32" t="s">
        <v>2308</v>
      </c>
      <c r="Q196" s="32" t="s">
        <v>2309</v>
      </c>
      <c r="R196" s="32" t="s">
        <v>2310</v>
      </c>
      <c r="S196" s="32" t="s">
        <v>2311</v>
      </c>
      <c r="T196" s="32" t="s">
        <v>2312</v>
      </c>
      <c r="U196" s="32" t="s">
        <v>2313</v>
      </c>
      <c r="V196" s="32" t="s">
        <v>2314</v>
      </c>
      <c r="W196" s="32" t="s">
        <v>2315</v>
      </c>
      <c r="X196" s="32" t="s">
        <v>2316</v>
      </c>
      <c r="Y196" s="32" t="s">
        <v>2317</v>
      </c>
      <c r="Z196" s="32" t="s">
        <v>2318</v>
      </c>
      <c r="AA196" s="32" t="s">
        <v>2319</v>
      </c>
      <c r="AB196" s="32" t="s">
        <v>2320</v>
      </c>
      <c r="AC196" s="32" t="s">
        <v>2321</v>
      </c>
      <c r="AD196" s="32" t="s">
        <v>2322</v>
      </c>
      <c r="AE196" s="32" t="s">
        <v>2323</v>
      </c>
      <c r="AF196" s="32" t="s">
        <v>2324</v>
      </c>
      <c r="AG196" s="19"/>
    </row>
    <row r="197" spans="2:33" ht="18.600000000000001" customHeight="1" x14ac:dyDescent="0.2">
      <c r="B197" s="32" t="s">
        <v>509</v>
      </c>
      <c r="C197" s="19"/>
      <c r="D197" s="32" t="s">
        <v>485</v>
      </c>
      <c r="E197" s="32" t="s">
        <v>1921</v>
      </c>
      <c r="F197" s="32" t="s">
        <v>1922</v>
      </c>
      <c r="G197" s="32" t="s">
        <v>1923</v>
      </c>
      <c r="H197" s="32" t="s">
        <v>1924</v>
      </c>
      <c r="I197" s="32" t="s">
        <v>1925</v>
      </c>
      <c r="J197" s="32" t="s">
        <v>1926</v>
      </c>
      <c r="K197" s="32" t="s">
        <v>1927</v>
      </c>
      <c r="L197" s="32" t="s">
        <v>1928</v>
      </c>
      <c r="M197" s="32" t="s">
        <v>1929</v>
      </c>
      <c r="N197" s="32" t="s">
        <v>1930</v>
      </c>
      <c r="O197" s="32" t="s">
        <v>1931</v>
      </c>
      <c r="P197" s="32" t="s">
        <v>1932</v>
      </c>
      <c r="Q197" s="32" t="s">
        <v>1933</v>
      </c>
      <c r="R197" s="32" t="s">
        <v>1934</v>
      </c>
      <c r="S197" s="32" t="s">
        <v>1935</v>
      </c>
      <c r="T197" s="32" t="s">
        <v>1936</v>
      </c>
      <c r="U197" s="32" t="s">
        <v>1937</v>
      </c>
      <c r="V197" s="32" t="s">
        <v>1938</v>
      </c>
      <c r="W197" s="32" t="s">
        <v>1939</v>
      </c>
      <c r="X197" s="32" t="s">
        <v>1940</v>
      </c>
      <c r="Y197" s="32" t="s">
        <v>1941</v>
      </c>
      <c r="Z197" s="32" t="s">
        <v>1942</v>
      </c>
      <c r="AA197" s="32" t="s">
        <v>1943</v>
      </c>
      <c r="AB197" s="32" t="s">
        <v>1944</v>
      </c>
      <c r="AC197" s="32" t="s">
        <v>1945</v>
      </c>
      <c r="AD197" s="32" t="s">
        <v>1946</v>
      </c>
      <c r="AE197" s="32" t="s">
        <v>1947</v>
      </c>
      <c r="AF197" s="32" t="s">
        <v>1948</v>
      </c>
      <c r="AG197" s="19"/>
    </row>
    <row r="198" spans="2:33" ht="18.600000000000001" customHeight="1" x14ac:dyDescent="0.2">
      <c r="B198" s="32" t="s">
        <v>510</v>
      </c>
      <c r="C198" s="19"/>
      <c r="D198" s="32" t="s">
        <v>352</v>
      </c>
      <c r="E198" s="32" t="s">
        <v>1949</v>
      </c>
      <c r="F198" s="32" t="s">
        <v>1950</v>
      </c>
      <c r="G198" s="32" t="s">
        <v>1951</v>
      </c>
      <c r="H198" s="32" t="s">
        <v>1952</v>
      </c>
      <c r="I198" s="32" t="s">
        <v>1953</v>
      </c>
      <c r="J198" s="32" t="s">
        <v>1954</v>
      </c>
      <c r="K198" s="32" t="s">
        <v>1955</v>
      </c>
      <c r="L198" s="32" t="s">
        <v>1956</v>
      </c>
      <c r="M198" s="32" t="s">
        <v>1957</v>
      </c>
      <c r="N198" s="32" t="s">
        <v>1958</v>
      </c>
      <c r="O198" s="32" t="s">
        <v>1959</v>
      </c>
      <c r="P198" s="32" t="s">
        <v>1960</v>
      </c>
      <c r="Q198" s="32" t="s">
        <v>1961</v>
      </c>
      <c r="R198" s="32" t="s">
        <v>1962</v>
      </c>
      <c r="S198" s="32" t="s">
        <v>1963</v>
      </c>
      <c r="T198" s="32" t="s">
        <v>1964</v>
      </c>
      <c r="U198" s="32" t="s">
        <v>1965</v>
      </c>
      <c r="V198" s="32" t="s">
        <v>1966</v>
      </c>
      <c r="W198" s="32" t="s">
        <v>1967</v>
      </c>
      <c r="X198" s="32" t="s">
        <v>1968</v>
      </c>
      <c r="Y198" s="32" t="s">
        <v>1969</v>
      </c>
      <c r="Z198" s="32" t="s">
        <v>1970</v>
      </c>
      <c r="AA198" s="32" t="s">
        <v>1971</v>
      </c>
      <c r="AB198" s="32" t="s">
        <v>1972</v>
      </c>
      <c r="AC198" s="32" t="s">
        <v>1973</v>
      </c>
      <c r="AD198" s="32" t="s">
        <v>1974</v>
      </c>
      <c r="AE198" s="32" t="s">
        <v>1975</v>
      </c>
      <c r="AF198" s="32" t="s">
        <v>1976</v>
      </c>
      <c r="AG198" s="19"/>
    </row>
    <row r="199" spans="2:33" ht="18.600000000000001" customHeight="1" x14ac:dyDescent="0.2">
      <c r="B199" s="32" t="s">
        <v>511</v>
      </c>
      <c r="C199" s="19"/>
      <c r="D199" s="32" t="s">
        <v>354</v>
      </c>
      <c r="E199" s="32" t="s">
        <v>1949</v>
      </c>
      <c r="F199" s="32" t="s">
        <v>1950</v>
      </c>
      <c r="G199" s="32" t="s">
        <v>1951</v>
      </c>
      <c r="H199" s="32" t="s">
        <v>1952</v>
      </c>
      <c r="I199" s="32" t="s">
        <v>1953</v>
      </c>
      <c r="J199" s="32" t="s">
        <v>1954</v>
      </c>
      <c r="K199" s="32" t="s">
        <v>1955</v>
      </c>
      <c r="L199" s="32" t="s">
        <v>1956</v>
      </c>
      <c r="M199" s="32" t="s">
        <v>1957</v>
      </c>
      <c r="N199" s="32" t="s">
        <v>1958</v>
      </c>
      <c r="O199" s="32" t="s">
        <v>1959</v>
      </c>
      <c r="P199" s="32" t="s">
        <v>1960</v>
      </c>
      <c r="Q199" s="32" t="s">
        <v>1961</v>
      </c>
      <c r="R199" s="32" t="s">
        <v>1962</v>
      </c>
      <c r="S199" s="32" t="s">
        <v>1963</v>
      </c>
      <c r="T199" s="32" t="s">
        <v>1964</v>
      </c>
      <c r="U199" s="32" t="s">
        <v>1965</v>
      </c>
      <c r="V199" s="32" t="s">
        <v>1966</v>
      </c>
      <c r="W199" s="32" t="s">
        <v>1967</v>
      </c>
      <c r="X199" s="32" t="s">
        <v>1968</v>
      </c>
      <c r="Y199" s="32" t="s">
        <v>1969</v>
      </c>
      <c r="Z199" s="32" t="s">
        <v>1970</v>
      </c>
      <c r="AA199" s="32" t="s">
        <v>1971</v>
      </c>
      <c r="AB199" s="32" t="s">
        <v>1972</v>
      </c>
      <c r="AC199" s="32" t="s">
        <v>1973</v>
      </c>
      <c r="AD199" s="32" t="s">
        <v>1974</v>
      </c>
      <c r="AE199" s="32" t="s">
        <v>1975</v>
      </c>
      <c r="AF199" s="32" t="s">
        <v>1976</v>
      </c>
      <c r="AG199" s="19"/>
    </row>
    <row r="200" spans="2:33" ht="18.600000000000001" customHeight="1" x14ac:dyDescent="0.2">
      <c r="B200" s="32" t="s">
        <v>512</v>
      </c>
      <c r="C200" s="19"/>
      <c r="D200" s="32" t="s">
        <v>352</v>
      </c>
      <c r="E200" s="32" t="s">
        <v>513</v>
      </c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19"/>
    </row>
    <row r="201" spans="2:33" ht="18.600000000000001" customHeight="1" x14ac:dyDescent="0.2">
      <c r="B201" s="32" t="s">
        <v>514</v>
      </c>
      <c r="C201" s="19"/>
      <c r="D201" s="32" t="s">
        <v>354</v>
      </c>
      <c r="E201" s="32" t="s">
        <v>515</v>
      </c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19"/>
    </row>
    <row r="202" spans="2:33" ht="18.600000000000001" customHeight="1" x14ac:dyDescent="0.2">
      <c r="B202" s="32" t="s">
        <v>516</v>
      </c>
      <c r="C202" s="19"/>
      <c r="D202" s="32" t="s">
        <v>352</v>
      </c>
      <c r="E202" s="32" t="s">
        <v>517</v>
      </c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19"/>
    </row>
    <row r="203" spans="2:33" ht="18.600000000000001" customHeight="1" x14ac:dyDescent="0.2">
      <c r="B203" s="32" t="s">
        <v>518</v>
      </c>
      <c r="C203" s="19"/>
      <c r="D203" s="32" t="s">
        <v>354</v>
      </c>
      <c r="E203" s="32" t="s">
        <v>519</v>
      </c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19"/>
    </row>
    <row r="204" spans="2:33" ht="18.600000000000001" customHeight="1" x14ac:dyDescent="0.2">
      <c r="B204" s="32" t="s">
        <v>520</v>
      </c>
      <c r="C204" s="19"/>
      <c r="D204" s="32" t="s">
        <v>352</v>
      </c>
      <c r="E204" s="32" t="s">
        <v>521</v>
      </c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19"/>
    </row>
    <row r="205" spans="2:33" ht="18.600000000000001" customHeight="1" x14ac:dyDescent="0.2">
      <c r="B205" s="32" t="s">
        <v>522</v>
      </c>
      <c r="C205" s="19"/>
      <c r="D205" s="32" t="s">
        <v>354</v>
      </c>
      <c r="E205" s="32" t="s">
        <v>523</v>
      </c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19"/>
    </row>
    <row r="206" spans="2:33" ht="18.600000000000001" customHeight="1" x14ac:dyDescent="0.2">
      <c r="B206" s="32" t="s">
        <v>524</v>
      </c>
      <c r="C206" s="19"/>
      <c r="D206" s="32" t="s">
        <v>354</v>
      </c>
      <c r="E206" s="32" t="s">
        <v>1977</v>
      </c>
      <c r="F206" s="32" t="s">
        <v>1978</v>
      </c>
      <c r="G206" s="32" t="s">
        <v>358</v>
      </c>
      <c r="H206" s="32" t="s">
        <v>1979</v>
      </c>
      <c r="I206" s="32" t="s">
        <v>360</v>
      </c>
      <c r="J206" s="32" t="s">
        <v>1980</v>
      </c>
      <c r="K206" s="32" t="s">
        <v>362</v>
      </c>
      <c r="L206" s="32" t="s">
        <v>357</v>
      </c>
      <c r="M206" s="32" t="s">
        <v>1981</v>
      </c>
      <c r="N206" s="32" t="s">
        <v>358</v>
      </c>
      <c r="O206" s="32" t="s">
        <v>360</v>
      </c>
      <c r="P206" s="32" t="s">
        <v>360</v>
      </c>
      <c r="Q206" s="32" t="s">
        <v>1982</v>
      </c>
      <c r="R206" s="32" t="s">
        <v>525</v>
      </c>
      <c r="S206" s="32" t="s">
        <v>357</v>
      </c>
      <c r="T206" s="32" t="s">
        <v>358</v>
      </c>
      <c r="U206" s="32" t="s">
        <v>358</v>
      </c>
      <c r="V206" s="32" t="s">
        <v>1983</v>
      </c>
      <c r="W206" s="32" t="s">
        <v>367</v>
      </c>
      <c r="X206" s="32" t="s">
        <v>525</v>
      </c>
      <c r="Y206" s="32" t="s">
        <v>525</v>
      </c>
      <c r="Z206" s="32" t="s">
        <v>357</v>
      </c>
      <c r="AA206" s="32" t="s">
        <v>526</v>
      </c>
      <c r="AB206" s="32" t="s">
        <v>526</v>
      </c>
      <c r="AC206" s="32" t="s">
        <v>367</v>
      </c>
      <c r="AD206" s="32" t="s">
        <v>367</v>
      </c>
      <c r="AE206" s="32" t="s">
        <v>525</v>
      </c>
      <c r="AF206" s="32" t="s">
        <v>525</v>
      </c>
      <c r="AG206" s="19"/>
    </row>
    <row r="207" spans="2:33" ht="18.600000000000001" customHeight="1" x14ac:dyDescent="0.2">
      <c r="B207" s="32" t="s">
        <v>527</v>
      </c>
      <c r="C207" s="19"/>
      <c r="D207" s="32" t="s">
        <v>310</v>
      </c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19"/>
    </row>
    <row r="208" spans="2:33" ht="18.600000000000001" customHeight="1" x14ac:dyDescent="0.2">
      <c r="B208" s="32" t="s">
        <v>528</v>
      </c>
      <c r="C208" s="19"/>
      <c r="D208" s="32" t="s">
        <v>310</v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19"/>
    </row>
    <row r="209" spans="2:33" ht="18.600000000000001" customHeight="1" x14ac:dyDescent="0.2">
      <c r="B209" s="32" t="s">
        <v>529</v>
      </c>
      <c r="C209" s="19"/>
      <c r="D209" s="32" t="s">
        <v>310</v>
      </c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19"/>
    </row>
    <row r="210" spans="2:33" ht="18.600000000000001" customHeight="1" x14ac:dyDescent="0.2">
      <c r="B210" s="32" t="s">
        <v>530</v>
      </c>
      <c r="C210" s="19"/>
      <c r="D210" s="32" t="s">
        <v>310</v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19"/>
    </row>
    <row r="211" spans="2:33" ht="18.600000000000001" customHeight="1" x14ac:dyDescent="0.2">
      <c r="B211" s="32" t="s">
        <v>531</v>
      </c>
      <c r="C211" s="19"/>
      <c r="D211" s="32" t="s">
        <v>310</v>
      </c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19"/>
    </row>
    <row r="212" spans="2:33" ht="18.600000000000001" customHeight="1" x14ac:dyDescent="0.2">
      <c r="B212" s="32" t="s">
        <v>532</v>
      </c>
      <c r="C212" s="19"/>
      <c r="D212" s="32" t="s">
        <v>310</v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19"/>
    </row>
    <row r="213" spans="2:33" ht="18.600000000000001" customHeight="1" x14ac:dyDescent="0.2">
      <c r="B213" s="32" t="s">
        <v>533</v>
      </c>
      <c r="C213" s="19"/>
      <c r="D213" s="32" t="s">
        <v>310</v>
      </c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19"/>
    </row>
    <row r="214" spans="2:33" ht="18.600000000000001" customHeight="1" x14ac:dyDescent="0.2">
      <c r="B214" s="32" t="s">
        <v>534</v>
      </c>
      <c r="C214" s="19"/>
      <c r="D214" s="32" t="s">
        <v>310</v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19"/>
    </row>
    <row r="215" spans="2:33" ht="18.600000000000001" customHeight="1" x14ac:dyDescent="0.2">
      <c r="B215" s="32" t="s">
        <v>535</v>
      </c>
      <c r="C215" s="19"/>
      <c r="D215" s="32" t="s">
        <v>310</v>
      </c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19"/>
    </row>
    <row r="216" spans="2:33" ht="18.600000000000001" customHeight="1" x14ac:dyDescent="0.2">
      <c r="B216" s="32" t="s">
        <v>536</v>
      </c>
      <c r="C216" s="19"/>
      <c r="D216" s="32" t="s">
        <v>310</v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19"/>
    </row>
    <row r="217" spans="2:33" ht="18.600000000000001" customHeight="1" x14ac:dyDescent="0.2">
      <c r="B217" s="32" t="s">
        <v>537</v>
      </c>
      <c r="C217" s="19"/>
      <c r="D217" s="32" t="s">
        <v>310</v>
      </c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19"/>
    </row>
    <row r="218" spans="2:33" ht="18.600000000000001" customHeight="1" x14ac:dyDescent="0.2">
      <c r="B218" s="32" t="s">
        <v>538</v>
      </c>
      <c r="C218" s="19"/>
      <c r="D218" s="32" t="s">
        <v>539</v>
      </c>
      <c r="E218" s="32" t="s">
        <v>1984</v>
      </c>
      <c r="F218" s="32" t="s">
        <v>1985</v>
      </c>
      <c r="G218" s="32" t="s">
        <v>1986</v>
      </c>
      <c r="H218" s="32" t="s">
        <v>1987</v>
      </c>
      <c r="I218" s="32" t="s">
        <v>1988</v>
      </c>
      <c r="J218" s="32" t="s">
        <v>1989</v>
      </c>
      <c r="K218" s="32" t="s">
        <v>1990</v>
      </c>
      <c r="L218" s="32" t="s">
        <v>357</v>
      </c>
      <c r="M218" s="32" t="s">
        <v>358</v>
      </c>
      <c r="N218" s="32" t="s">
        <v>359</v>
      </c>
      <c r="O218" s="32" t="s">
        <v>360</v>
      </c>
      <c r="P218" s="32" t="s">
        <v>361</v>
      </c>
      <c r="Q218" s="32" t="s">
        <v>362</v>
      </c>
      <c r="R218" s="32" t="s">
        <v>363</v>
      </c>
      <c r="S218" s="32" t="s">
        <v>1991</v>
      </c>
      <c r="T218" s="32" t="s">
        <v>1992</v>
      </c>
      <c r="U218" s="32" t="s">
        <v>1993</v>
      </c>
      <c r="V218" s="32" t="s">
        <v>1994</v>
      </c>
      <c r="W218" s="32" t="s">
        <v>1995</v>
      </c>
      <c r="X218" s="32" t="s">
        <v>1996</v>
      </c>
      <c r="Y218" s="32" t="s">
        <v>1997</v>
      </c>
      <c r="Z218" s="32" t="s">
        <v>364</v>
      </c>
      <c r="AA218" s="32" t="s">
        <v>365</v>
      </c>
      <c r="AB218" s="32" t="s">
        <v>366</v>
      </c>
      <c r="AC218" s="32" t="s">
        <v>367</v>
      </c>
      <c r="AD218" s="32" t="s">
        <v>368</v>
      </c>
      <c r="AE218" s="32" t="s">
        <v>369</v>
      </c>
      <c r="AF218" s="32" t="s">
        <v>370</v>
      </c>
      <c r="AG218" s="19"/>
    </row>
    <row r="219" spans="2:33" ht="18.600000000000001" customHeight="1" x14ac:dyDescent="0.2">
      <c r="B219" s="32" t="s">
        <v>540</v>
      </c>
      <c r="C219" s="19"/>
      <c r="D219" s="32" t="s">
        <v>310</v>
      </c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19"/>
    </row>
    <row r="220" spans="2:33" ht="18.600000000000001" customHeight="1" x14ac:dyDescent="0.2">
      <c r="B220" s="32" t="s">
        <v>541</v>
      </c>
      <c r="C220" s="19"/>
      <c r="D220" s="32" t="s">
        <v>542</v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19"/>
    </row>
    <row r="221" spans="2:33" ht="18.600000000000001" customHeight="1" x14ac:dyDescent="0.2">
      <c r="B221" s="32" t="s">
        <v>543</v>
      </c>
      <c r="C221" s="19"/>
      <c r="D221" s="32" t="s">
        <v>539</v>
      </c>
      <c r="E221" s="32" t="s">
        <v>1998</v>
      </c>
      <c r="F221" s="32" t="s">
        <v>357</v>
      </c>
      <c r="G221" s="32" t="s">
        <v>357</v>
      </c>
      <c r="H221" s="32" t="s">
        <v>357</v>
      </c>
      <c r="I221" s="32" t="s">
        <v>357</v>
      </c>
      <c r="J221" s="32" t="s">
        <v>357</v>
      </c>
      <c r="K221" s="32" t="s">
        <v>357</v>
      </c>
      <c r="L221" s="32" t="s">
        <v>357</v>
      </c>
      <c r="M221" s="32" t="s">
        <v>357</v>
      </c>
      <c r="N221" s="32" t="s">
        <v>357</v>
      </c>
      <c r="O221" s="32" t="s">
        <v>357</v>
      </c>
      <c r="P221" s="32" t="s">
        <v>357</v>
      </c>
      <c r="Q221" s="32" t="s">
        <v>357</v>
      </c>
      <c r="R221" s="32" t="s">
        <v>357</v>
      </c>
      <c r="S221" s="32" t="s">
        <v>357</v>
      </c>
      <c r="T221" s="32" t="s">
        <v>357</v>
      </c>
      <c r="U221" s="32" t="s">
        <v>357</v>
      </c>
      <c r="V221" s="32" t="s">
        <v>357</v>
      </c>
      <c r="W221" s="32" t="s">
        <v>357</v>
      </c>
      <c r="X221" s="32" t="s">
        <v>357</v>
      </c>
      <c r="Y221" s="32" t="s">
        <v>357</v>
      </c>
      <c r="Z221" s="32" t="s">
        <v>357</v>
      </c>
      <c r="AA221" s="32" t="s">
        <v>357</v>
      </c>
      <c r="AB221" s="32" t="s">
        <v>357</v>
      </c>
      <c r="AC221" s="32" t="s">
        <v>357</v>
      </c>
      <c r="AD221" s="32" t="s">
        <v>357</v>
      </c>
      <c r="AE221" s="32" t="s">
        <v>357</v>
      </c>
      <c r="AF221" s="32" t="s">
        <v>357</v>
      </c>
      <c r="AG221" s="19"/>
    </row>
    <row r="222" spans="2:33" ht="18.600000000000001" customHeight="1" x14ac:dyDescent="0.2">
      <c r="B222" s="32" t="s">
        <v>544</v>
      </c>
      <c r="C222" s="19"/>
      <c r="D222" s="32" t="s">
        <v>539</v>
      </c>
      <c r="E222" s="32" t="s">
        <v>1999</v>
      </c>
      <c r="F222" s="32" t="s">
        <v>2000</v>
      </c>
      <c r="G222" s="32" t="s">
        <v>2001</v>
      </c>
      <c r="H222" s="32" t="s">
        <v>2002</v>
      </c>
      <c r="I222" s="32" t="s">
        <v>2003</v>
      </c>
      <c r="J222" s="32" t="s">
        <v>2004</v>
      </c>
      <c r="K222" s="32" t="s">
        <v>2005</v>
      </c>
      <c r="L222" s="32" t="s">
        <v>2006</v>
      </c>
      <c r="M222" s="32" t="s">
        <v>2007</v>
      </c>
      <c r="N222" s="32" t="s">
        <v>2008</v>
      </c>
      <c r="O222" s="32" t="s">
        <v>2009</v>
      </c>
      <c r="P222" s="32" t="s">
        <v>2010</v>
      </c>
      <c r="Q222" s="32" t="s">
        <v>2011</v>
      </c>
      <c r="R222" s="32" t="s">
        <v>2012</v>
      </c>
      <c r="S222" s="32" t="s">
        <v>2013</v>
      </c>
      <c r="T222" s="32" t="s">
        <v>2014</v>
      </c>
      <c r="U222" s="32" t="s">
        <v>2015</v>
      </c>
      <c r="V222" s="32" t="s">
        <v>2016</v>
      </c>
      <c r="W222" s="32" t="s">
        <v>2017</v>
      </c>
      <c r="X222" s="32" t="s">
        <v>2018</v>
      </c>
      <c r="Y222" s="32" t="s">
        <v>2019</v>
      </c>
      <c r="Z222" s="32" t="s">
        <v>2020</v>
      </c>
      <c r="AA222" s="32" t="s">
        <v>2021</v>
      </c>
      <c r="AB222" s="32" t="s">
        <v>2022</v>
      </c>
      <c r="AC222" s="32" t="s">
        <v>2023</v>
      </c>
      <c r="AD222" s="32" t="s">
        <v>2024</v>
      </c>
      <c r="AE222" s="32" t="s">
        <v>2025</v>
      </c>
      <c r="AF222" s="32" t="s">
        <v>2026</v>
      </c>
      <c r="AG222" s="19"/>
    </row>
    <row r="223" spans="2:33" ht="18.600000000000001" customHeight="1" x14ac:dyDescent="0.2">
      <c r="B223" s="32" t="s">
        <v>545</v>
      </c>
      <c r="C223" s="19"/>
      <c r="D223" s="32" t="s">
        <v>539</v>
      </c>
      <c r="E223" s="32" t="s">
        <v>2027</v>
      </c>
      <c r="F223" s="32" t="s">
        <v>357</v>
      </c>
      <c r="G223" s="32" t="s">
        <v>357</v>
      </c>
      <c r="H223" s="32" t="s">
        <v>357</v>
      </c>
      <c r="I223" s="32" t="s">
        <v>357</v>
      </c>
      <c r="J223" s="32" t="s">
        <v>357</v>
      </c>
      <c r="K223" s="32" t="s">
        <v>357</v>
      </c>
      <c r="L223" s="32" t="s">
        <v>357</v>
      </c>
      <c r="M223" s="32" t="s">
        <v>357</v>
      </c>
      <c r="N223" s="32" t="s">
        <v>357</v>
      </c>
      <c r="O223" s="32" t="s">
        <v>357</v>
      </c>
      <c r="P223" s="32" t="s">
        <v>357</v>
      </c>
      <c r="Q223" s="32" t="s">
        <v>357</v>
      </c>
      <c r="R223" s="32" t="s">
        <v>357</v>
      </c>
      <c r="S223" s="32" t="s">
        <v>357</v>
      </c>
      <c r="T223" s="32" t="s">
        <v>357</v>
      </c>
      <c r="U223" s="32" t="s">
        <v>357</v>
      </c>
      <c r="V223" s="32" t="s">
        <v>357</v>
      </c>
      <c r="W223" s="32" t="s">
        <v>357</v>
      </c>
      <c r="X223" s="32" t="s">
        <v>357</v>
      </c>
      <c r="Y223" s="32" t="s">
        <v>357</v>
      </c>
      <c r="Z223" s="32" t="s">
        <v>357</v>
      </c>
      <c r="AA223" s="32" t="s">
        <v>357</v>
      </c>
      <c r="AB223" s="32" t="s">
        <v>357</v>
      </c>
      <c r="AC223" s="32" t="s">
        <v>357</v>
      </c>
      <c r="AD223" s="32" t="s">
        <v>357</v>
      </c>
      <c r="AE223" s="32" t="s">
        <v>357</v>
      </c>
      <c r="AF223" s="32" t="s">
        <v>357</v>
      </c>
      <c r="AG223" s="19"/>
    </row>
    <row r="224" spans="2:33" ht="18.600000000000001" customHeight="1" x14ac:dyDescent="0.2">
      <c r="B224" s="32" t="s">
        <v>546</v>
      </c>
      <c r="C224" s="19"/>
      <c r="D224" s="32" t="s">
        <v>539</v>
      </c>
      <c r="E224" s="32" t="s">
        <v>2028</v>
      </c>
      <c r="F224" s="32" t="s">
        <v>357</v>
      </c>
      <c r="G224" s="32" t="s">
        <v>357</v>
      </c>
      <c r="H224" s="32" t="s">
        <v>357</v>
      </c>
      <c r="I224" s="32" t="s">
        <v>357</v>
      </c>
      <c r="J224" s="32" t="s">
        <v>357</v>
      </c>
      <c r="K224" s="32" t="s">
        <v>357</v>
      </c>
      <c r="L224" s="32" t="s">
        <v>357</v>
      </c>
      <c r="M224" s="32" t="s">
        <v>357</v>
      </c>
      <c r="N224" s="32" t="s">
        <v>357</v>
      </c>
      <c r="O224" s="32" t="s">
        <v>357</v>
      </c>
      <c r="P224" s="32" t="s">
        <v>357</v>
      </c>
      <c r="Q224" s="32" t="s">
        <v>357</v>
      </c>
      <c r="R224" s="32" t="s">
        <v>357</v>
      </c>
      <c r="S224" s="32" t="s">
        <v>357</v>
      </c>
      <c r="T224" s="32" t="s">
        <v>357</v>
      </c>
      <c r="U224" s="32" t="s">
        <v>357</v>
      </c>
      <c r="V224" s="32" t="s">
        <v>357</v>
      </c>
      <c r="W224" s="32" t="s">
        <v>357</v>
      </c>
      <c r="X224" s="32" t="s">
        <v>357</v>
      </c>
      <c r="Y224" s="32" t="s">
        <v>357</v>
      </c>
      <c r="Z224" s="32" t="s">
        <v>357</v>
      </c>
      <c r="AA224" s="32" t="s">
        <v>357</v>
      </c>
      <c r="AB224" s="32" t="s">
        <v>357</v>
      </c>
      <c r="AC224" s="32" t="s">
        <v>357</v>
      </c>
      <c r="AD224" s="32" t="s">
        <v>357</v>
      </c>
      <c r="AE224" s="32" t="s">
        <v>357</v>
      </c>
      <c r="AF224" s="32" t="s">
        <v>357</v>
      </c>
      <c r="AG224" s="19"/>
    </row>
    <row r="225" spans="2:33" ht="18.600000000000001" customHeight="1" x14ac:dyDescent="0.2">
      <c r="B225" s="32" t="s">
        <v>547</v>
      </c>
      <c r="C225" s="19"/>
      <c r="D225" s="32" t="s">
        <v>539</v>
      </c>
      <c r="E225" s="32" t="s">
        <v>2029</v>
      </c>
      <c r="F225" s="32" t="s">
        <v>2030</v>
      </c>
      <c r="G225" s="32" t="s">
        <v>2031</v>
      </c>
      <c r="H225" s="32" t="s">
        <v>2032</v>
      </c>
      <c r="I225" s="32" t="s">
        <v>2033</v>
      </c>
      <c r="J225" s="32" t="s">
        <v>2034</v>
      </c>
      <c r="K225" s="32" t="s">
        <v>2035</v>
      </c>
      <c r="L225" s="32" t="s">
        <v>357</v>
      </c>
      <c r="M225" s="32" t="s">
        <v>358</v>
      </c>
      <c r="N225" s="32" t="s">
        <v>359</v>
      </c>
      <c r="O225" s="32" t="s">
        <v>360</v>
      </c>
      <c r="P225" s="32" t="s">
        <v>361</v>
      </c>
      <c r="Q225" s="32" t="s">
        <v>362</v>
      </c>
      <c r="R225" s="32" t="s">
        <v>363</v>
      </c>
      <c r="S225" s="32" t="s">
        <v>2036</v>
      </c>
      <c r="T225" s="32" t="s">
        <v>2037</v>
      </c>
      <c r="U225" s="32" t="s">
        <v>2038</v>
      </c>
      <c r="V225" s="32" t="s">
        <v>2039</v>
      </c>
      <c r="W225" s="32" t="s">
        <v>2040</v>
      </c>
      <c r="X225" s="32" t="s">
        <v>2041</v>
      </c>
      <c r="Y225" s="32" t="s">
        <v>2042</v>
      </c>
      <c r="Z225" s="32" t="s">
        <v>364</v>
      </c>
      <c r="AA225" s="32" t="s">
        <v>365</v>
      </c>
      <c r="AB225" s="32" t="s">
        <v>366</v>
      </c>
      <c r="AC225" s="32" t="s">
        <v>367</v>
      </c>
      <c r="AD225" s="32" t="s">
        <v>368</v>
      </c>
      <c r="AE225" s="32" t="s">
        <v>369</v>
      </c>
      <c r="AF225" s="32" t="s">
        <v>370</v>
      </c>
      <c r="AG225" s="19"/>
    </row>
    <row r="226" spans="2:33" ht="18.600000000000001" customHeight="1" x14ac:dyDescent="0.2">
      <c r="B226" s="32" t="s">
        <v>548</v>
      </c>
      <c r="C226" s="19"/>
      <c r="D226" s="32" t="s">
        <v>539</v>
      </c>
      <c r="E226" s="32" t="s">
        <v>2043</v>
      </c>
      <c r="F226" s="32" t="s">
        <v>2044</v>
      </c>
      <c r="G226" s="32" t="s">
        <v>2045</v>
      </c>
      <c r="H226" s="32" t="s">
        <v>2046</v>
      </c>
      <c r="I226" s="32" t="s">
        <v>2047</v>
      </c>
      <c r="J226" s="32" t="s">
        <v>2048</v>
      </c>
      <c r="K226" s="32" t="s">
        <v>2049</v>
      </c>
      <c r="L226" s="32" t="s">
        <v>357</v>
      </c>
      <c r="M226" s="32" t="s">
        <v>358</v>
      </c>
      <c r="N226" s="32" t="s">
        <v>359</v>
      </c>
      <c r="O226" s="32" t="s">
        <v>360</v>
      </c>
      <c r="P226" s="32" t="s">
        <v>361</v>
      </c>
      <c r="Q226" s="32" t="s">
        <v>362</v>
      </c>
      <c r="R226" s="32" t="s">
        <v>363</v>
      </c>
      <c r="S226" s="32" t="s">
        <v>2050</v>
      </c>
      <c r="T226" s="32" t="s">
        <v>2051</v>
      </c>
      <c r="U226" s="32" t="s">
        <v>2052</v>
      </c>
      <c r="V226" s="32" t="s">
        <v>2053</v>
      </c>
      <c r="W226" s="32" t="s">
        <v>2054</v>
      </c>
      <c r="X226" s="32" t="s">
        <v>2055</v>
      </c>
      <c r="Y226" s="32" t="s">
        <v>2056</v>
      </c>
      <c r="Z226" s="32" t="s">
        <v>364</v>
      </c>
      <c r="AA226" s="32" t="s">
        <v>365</v>
      </c>
      <c r="AB226" s="32" t="s">
        <v>366</v>
      </c>
      <c r="AC226" s="32" t="s">
        <v>367</v>
      </c>
      <c r="AD226" s="32" t="s">
        <v>368</v>
      </c>
      <c r="AE226" s="32" t="s">
        <v>369</v>
      </c>
      <c r="AF226" s="32" t="s">
        <v>370</v>
      </c>
      <c r="AG226" s="19"/>
    </row>
    <row r="227" spans="2:33" ht="18.600000000000001" customHeight="1" x14ac:dyDescent="0.2">
      <c r="B227" s="32" t="s">
        <v>549</v>
      </c>
      <c r="C227" s="19"/>
      <c r="D227" s="32" t="s">
        <v>539</v>
      </c>
      <c r="E227" s="32" t="s">
        <v>2057</v>
      </c>
      <c r="F227" s="32" t="s">
        <v>2058</v>
      </c>
      <c r="G227" s="32" t="s">
        <v>2059</v>
      </c>
      <c r="H227" s="32" t="s">
        <v>2060</v>
      </c>
      <c r="I227" s="32" t="s">
        <v>2061</v>
      </c>
      <c r="J227" s="32" t="s">
        <v>2062</v>
      </c>
      <c r="K227" s="32" t="s">
        <v>2063</v>
      </c>
      <c r="L227" s="32" t="s">
        <v>357</v>
      </c>
      <c r="M227" s="32" t="s">
        <v>358</v>
      </c>
      <c r="N227" s="32" t="s">
        <v>359</v>
      </c>
      <c r="O227" s="32" t="s">
        <v>360</v>
      </c>
      <c r="P227" s="32" t="s">
        <v>361</v>
      </c>
      <c r="Q227" s="32" t="s">
        <v>362</v>
      </c>
      <c r="R227" s="32" t="s">
        <v>363</v>
      </c>
      <c r="S227" s="32" t="s">
        <v>2064</v>
      </c>
      <c r="T227" s="32" t="s">
        <v>2065</v>
      </c>
      <c r="U227" s="32" t="s">
        <v>2066</v>
      </c>
      <c r="V227" s="32" t="s">
        <v>2067</v>
      </c>
      <c r="W227" s="32" t="s">
        <v>2068</v>
      </c>
      <c r="X227" s="32" t="s">
        <v>2069</v>
      </c>
      <c r="Y227" s="32" t="s">
        <v>2070</v>
      </c>
      <c r="Z227" s="32" t="s">
        <v>364</v>
      </c>
      <c r="AA227" s="32" t="s">
        <v>365</v>
      </c>
      <c r="AB227" s="32" t="s">
        <v>366</v>
      </c>
      <c r="AC227" s="32" t="s">
        <v>367</v>
      </c>
      <c r="AD227" s="32" t="s">
        <v>368</v>
      </c>
      <c r="AE227" s="32" t="s">
        <v>369</v>
      </c>
      <c r="AF227" s="32" t="s">
        <v>370</v>
      </c>
      <c r="AG227" s="19"/>
    </row>
    <row r="228" spans="2:33" ht="18.600000000000001" customHeight="1" x14ac:dyDescent="0.2">
      <c r="B228" s="32" t="s">
        <v>550</v>
      </c>
      <c r="C228" s="19"/>
      <c r="D228" s="32" t="s">
        <v>539</v>
      </c>
      <c r="E228" s="32" t="s">
        <v>2071</v>
      </c>
      <c r="F228" s="32" t="s">
        <v>2072</v>
      </c>
      <c r="G228" s="32" t="s">
        <v>2073</v>
      </c>
      <c r="H228" s="32" t="s">
        <v>2074</v>
      </c>
      <c r="I228" s="32" t="s">
        <v>2075</v>
      </c>
      <c r="J228" s="32" t="s">
        <v>2076</v>
      </c>
      <c r="K228" s="32" t="s">
        <v>2077</v>
      </c>
      <c r="L228" s="32" t="s">
        <v>357</v>
      </c>
      <c r="M228" s="32" t="s">
        <v>358</v>
      </c>
      <c r="N228" s="32" t="s">
        <v>359</v>
      </c>
      <c r="O228" s="32" t="s">
        <v>360</v>
      </c>
      <c r="P228" s="32" t="s">
        <v>361</v>
      </c>
      <c r="Q228" s="32" t="s">
        <v>362</v>
      </c>
      <c r="R228" s="32" t="s">
        <v>363</v>
      </c>
      <c r="S228" s="32" t="s">
        <v>2078</v>
      </c>
      <c r="T228" s="32" t="s">
        <v>2079</v>
      </c>
      <c r="U228" s="32" t="s">
        <v>2080</v>
      </c>
      <c r="V228" s="32" t="s">
        <v>2081</v>
      </c>
      <c r="W228" s="32" t="s">
        <v>2082</v>
      </c>
      <c r="X228" s="32" t="s">
        <v>2083</v>
      </c>
      <c r="Y228" s="32" t="s">
        <v>2084</v>
      </c>
      <c r="Z228" s="32" t="s">
        <v>364</v>
      </c>
      <c r="AA228" s="32" t="s">
        <v>365</v>
      </c>
      <c r="AB228" s="32" t="s">
        <v>366</v>
      </c>
      <c r="AC228" s="32" t="s">
        <v>367</v>
      </c>
      <c r="AD228" s="32" t="s">
        <v>368</v>
      </c>
      <c r="AE228" s="32" t="s">
        <v>369</v>
      </c>
      <c r="AF228" s="32" t="s">
        <v>370</v>
      </c>
      <c r="AG228" s="19"/>
    </row>
    <row r="229" spans="2:33" ht="18.600000000000001" customHeight="1" x14ac:dyDescent="0.2">
      <c r="B229" s="32" t="s">
        <v>551</v>
      </c>
      <c r="C229" s="19"/>
      <c r="D229" s="32" t="s">
        <v>539</v>
      </c>
      <c r="E229" s="32" t="s">
        <v>2085</v>
      </c>
      <c r="F229" s="32" t="s">
        <v>2086</v>
      </c>
      <c r="G229" s="32" t="s">
        <v>2087</v>
      </c>
      <c r="H229" s="32" t="s">
        <v>2088</v>
      </c>
      <c r="I229" s="32" t="s">
        <v>2089</v>
      </c>
      <c r="J229" s="32" t="s">
        <v>2090</v>
      </c>
      <c r="K229" s="32" t="s">
        <v>2091</v>
      </c>
      <c r="L229" s="32" t="s">
        <v>357</v>
      </c>
      <c r="M229" s="32" t="s">
        <v>358</v>
      </c>
      <c r="N229" s="32" t="s">
        <v>359</v>
      </c>
      <c r="O229" s="32" t="s">
        <v>360</v>
      </c>
      <c r="P229" s="32" t="s">
        <v>361</v>
      </c>
      <c r="Q229" s="32" t="s">
        <v>362</v>
      </c>
      <c r="R229" s="32" t="s">
        <v>363</v>
      </c>
      <c r="S229" s="32" t="s">
        <v>2092</v>
      </c>
      <c r="T229" s="32" t="s">
        <v>2093</v>
      </c>
      <c r="U229" s="32" t="s">
        <v>2094</v>
      </c>
      <c r="V229" s="32" t="s">
        <v>2095</v>
      </c>
      <c r="W229" s="32" t="s">
        <v>2096</v>
      </c>
      <c r="X229" s="32" t="s">
        <v>2097</v>
      </c>
      <c r="Y229" s="32" t="s">
        <v>2098</v>
      </c>
      <c r="Z229" s="32" t="s">
        <v>364</v>
      </c>
      <c r="AA229" s="32" t="s">
        <v>365</v>
      </c>
      <c r="AB229" s="32" t="s">
        <v>366</v>
      </c>
      <c r="AC229" s="32" t="s">
        <v>367</v>
      </c>
      <c r="AD229" s="32" t="s">
        <v>368</v>
      </c>
      <c r="AE229" s="32" t="s">
        <v>369</v>
      </c>
      <c r="AF229" s="32" t="s">
        <v>370</v>
      </c>
      <c r="AG229" s="19"/>
    </row>
  </sheetData>
  <sheetProtection insertHyperlinks="0" autoFilter="0"/>
  <mergeCells count="3">
    <mergeCell ref="B5:C5"/>
    <mergeCell ref="D5:AF5"/>
    <mergeCell ref="B1:G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29" r:id="rId4" name="ComboBox22">
          <controlPr defaultSize="0" autoLine="0" linkedCell="ChanMap28x!$D$165" r:id="rId5">
            <anchor moveWithCells="1">
              <from>
                <xdr:col>3</xdr:col>
                <xdr:colOff>9525</xdr:colOff>
                <xdr:row>164</xdr:row>
                <xdr:rowOff>9525</xdr:rowOff>
              </from>
              <to>
                <xdr:col>4</xdr:col>
                <xdr:colOff>190500</xdr:colOff>
                <xdr:row>164</xdr:row>
                <xdr:rowOff>209550</xdr:rowOff>
              </to>
            </anchor>
          </controlPr>
        </control>
      </mc:Choice>
      <mc:Fallback>
        <control shapeId="4129" r:id="rId4" name="ComboBox22"/>
      </mc:Fallback>
    </mc:AlternateContent>
    <mc:AlternateContent xmlns:mc="http://schemas.openxmlformats.org/markup-compatibility/2006">
      <mc:Choice Requires="x14">
        <control shapeId="4128" r:id="rId6" name="ComboBox21">
          <controlPr defaultSize="0" autoLine="0" r:id="rId7">
            <anchor moveWithCells="1">
              <from>
                <xdr:col>1</xdr:col>
                <xdr:colOff>9525</xdr:colOff>
                <xdr:row>6</xdr:row>
                <xdr:rowOff>9525</xdr:rowOff>
              </from>
              <to>
                <xdr:col>2</xdr:col>
                <xdr:colOff>190500</xdr:colOff>
                <xdr:row>6</xdr:row>
                <xdr:rowOff>209550</xdr:rowOff>
              </to>
            </anchor>
          </controlPr>
        </control>
      </mc:Choice>
      <mc:Fallback>
        <control shapeId="4128" r:id="rId6" name="ComboBox2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E11"/>
  <sheetViews>
    <sheetView showGridLines="0" workbookViewId="0">
      <pane ySplit="3" topLeftCell="A4" activePane="bottomLeft" state="frozen"/>
      <selection pane="bottomLeft" activeCell="D10" sqref="D10"/>
    </sheetView>
  </sheetViews>
  <sheetFormatPr defaultColWidth="9.140625" defaultRowHeight="18.600000000000001" customHeight="1" x14ac:dyDescent="0.2"/>
  <cols>
    <col min="1" max="1" width="9.140625" style="10"/>
    <col min="2" max="2" width="17.5703125" style="10" customWidth="1"/>
    <col min="3" max="4" width="13.42578125" style="10" customWidth="1"/>
    <col min="5" max="5" width="42.85546875" style="10" customWidth="1"/>
    <col min="6" max="16384" width="9.140625" style="10"/>
  </cols>
  <sheetData>
    <row r="1" spans="1:5" ht="25.5" customHeight="1" x14ac:dyDescent="0.4">
      <c r="A1" s="13" t="s">
        <v>185</v>
      </c>
      <c r="B1" s="16" t="s">
        <v>12</v>
      </c>
      <c r="C1" s="16"/>
      <c r="D1" s="16"/>
      <c r="E1" s="16"/>
    </row>
    <row r="2" spans="1:5" ht="13.5" thickBot="1" x14ac:dyDescent="0.25"/>
    <row r="3" spans="1:5" s="11" customFormat="1" ht="13.5" thickBot="1" x14ac:dyDescent="0.25">
      <c r="B3" s="14" t="s">
        <v>9</v>
      </c>
      <c r="C3" s="15" t="s">
        <v>10</v>
      </c>
      <c r="D3" s="14" t="s">
        <v>11</v>
      </c>
      <c r="E3" s="15" t="s">
        <v>3</v>
      </c>
    </row>
    <row r="4" spans="1:5" ht="18.600000000000001" customHeight="1" x14ac:dyDescent="0.25">
      <c r="B4" s="21" t="s">
        <v>5</v>
      </c>
      <c r="C4" s="17"/>
      <c r="D4" s="18">
        <v>-1</v>
      </c>
      <c r="E4" s="19" t="s">
        <v>6</v>
      </c>
    </row>
    <row r="5" spans="1:5" ht="18.600000000000001" customHeight="1" x14ac:dyDescent="0.25">
      <c r="B5" s="20" t="s">
        <v>7</v>
      </c>
      <c r="C5" s="17"/>
      <c r="D5" s="18">
        <v>6</v>
      </c>
      <c r="E5" s="19" t="s">
        <v>8</v>
      </c>
    </row>
    <row r="6" spans="1:5" ht="18.600000000000001" customHeight="1" x14ac:dyDescent="0.25">
      <c r="B6" s="20" t="s">
        <v>195</v>
      </c>
      <c r="C6" s="17"/>
      <c r="D6" s="18">
        <v>5</v>
      </c>
      <c r="E6" s="19" t="s">
        <v>196</v>
      </c>
    </row>
    <row r="7" spans="1:5" ht="18.600000000000001" customHeight="1" x14ac:dyDescent="0.25">
      <c r="B7" s="20" t="s">
        <v>265</v>
      </c>
      <c r="C7" s="17"/>
      <c r="D7" s="18">
        <v>3.3</v>
      </c>
      <c r="E7" s="19"/>
    </row>
    <row r="8" spans="1:5" ht="18.600000000000001" customHeight="1" x14ac:dyDescent="0.25">
      <c r="B8" s="20" t="s">
        <v>266</v>
      </c>
      <c r="C8" s="17"/>
      <c r="D8" s="18">
        <v>1E-4</v>
      </c>
      <c r="E8" s="19"/>
    </row>
    <row r="9" spans="1:5" ht="18.600000000000001" customHeight="1" x14ac:dyDescent="0.25">
      <c r="B9" s="20" t="s">
        <v>267</v>
      </c>
      <c r="C9" s="17"/>
      <c r="D9" s="18">
        <v>0</v>
      </c>
      <c r="E9" s="19"/>
    </row>
    <row r="10" spans="1:5" ht="18.600000000000001" customHeight="1" x14ac:dyDescent="0.25">
      <c r="B10" s="20" t="s">
        <v>268</v>
      </c>
      <c r="C10" s="17"/>
      <c r="D10" s="18">
        <v>8.0000000000000005E-9</v>
      </c>
      <c r="E10" s="19"/>
    </row>
    <row r="11" spans="1:5" ht="18.600000000000001" customHeight="1" x14ac:dyDescent="0.25">
      <c r="B11" s="20" t="s">
        <v>2325</v>
      </c>
      <c r="C11" s="17"/>
      <c r="D11" s="18">
        <v>3.4</v>
      </c>
      <c r="E11" s="19"/>
    </row>
  </sheetData>
  <mergeCells count="1">
    <mergeCell ref="B1:E1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Q103"/>
  <sheetViews>
    <sheetView showGridLines="0" workbookViewId="0">
      <pane ySplit="4" topLeftCell="A37" activePane="bottomLeft" state="frozen"/>
      <selection pane="bottomLeft" activeCell="D105" sqref="D105"/>
    </sheetView>
  </sheetViews>
  <sheetFormatPr defaultColWidth="9.140625" defaultRowHeight="18.600000000000001" customHeight="1" outlineLevelRow="1" outlineLevelCol="1" x14ac:dyDescent="0.2"/>
  <cols>
    <col min="1" max="1" width="9.140625" style="10"/>
    <col min="2" max="6" width="9.140625" style="10" customWidth="1"/>
    <col min="7" max="7" width="13.42578125" style="10" customWidth="1"/>
    <col min="8" max="8" width="21.85546875" style="10" customWidth="1"/>
    <col min="9" max="9" width="13.42578125" style="10" customWidth="1"/>
    <col min="10" max="12" width="9.140625" style="10" customWidth="1"/>
    <col min="13" max="13" width="6.28515625" style="10" customWidth="1"/>
    <col min="14" max="15" width="9.140625" style="10" customWidth="1"/>
    <col min="16" max="19" width="6.28515625" style="10" customWidth="1"/>
    <col min="20" max="20" width="9.140625" style="10" customWidth="1" collapsed="1"/>
    <col min="21" max="24" width="9.140625" style="10" hidden="1" customWidth="1" outlineLevel="1"/>
    <col min="25" max="25" width="6.28515625" style="10" hidden="1" customWidth="1" outlineLevel="1"/>
    <col min="26" max="26" width="13.42578125" style="10" hidden="1" customWidth="1" outlineLevel="1"/>
    <col min="27" max="27" width="9.140625" style="10" hidden="1" customWidth="1" outlineLevel="1"/>
    <col min="28" max="28" width="6.28515625" style="10" hidden="1" customWidth="1" outlineLevel="1"/>
    <col min="29" max="29" width="13.42578125" style="10" hidden="1" customWidth="1" outlineLevel="1"/>
    <col min="30" max="32" width="9.140625" style="10" hidden="1" customWidth="1" outlineLevel="1"/>
    <col min="33" max="33" width="42.85546875" style="10" customWidth="1"/>
    <col min="34" max="37" width="13.42578125" style="10" customWidth="1"/>
    <col min="38" max="38" width="42.85546875" style="10" customWidth="1"/>
    <col min="39" max="16384" width="9.140625" style="10"/>
  </cols>
  <sheetData>
    <row r="1" spans="1:43" ht="25.5" customHeight="1" x14ac:dyDescent="0.4">
      <c r="A1" s="13" t="s">
        <v>614</v>
      </c>
      <c r="B1" s="16" t="s">
        <v>88</v>
      </c>
      <c r="C1" s="16"/>
      <c r="D1" s="16"/>
      <c r="E1" s="16"/>
      <c r="F1" s="16"/>
      <c r="G1" s="16"/>
      <c r="H1" s="16"/>
    </row>
    <row r="2" spans="1:43" ht="13.5" thickBot="1" x14ac:dyDescent="0.25">
      <c r="G2" s="22" t="s">
        <v>193</v>
      </c>
      <c r="H2" s="12"/>
    </row>
    <row r="3" spans="1:43" s="11" customFormat="1" ht="13.5" thickBot="1" x14ac:dyDescent="0.25">
      <c r="D3" s="23" t="s">
        <v>89</v>
      </c>
      <c r="E3" s="24"/>
      <c r="F3" s="25"/>
      <c r="G3" s="23" t="s">
        <v>69</v>
      </c>
      <c r="H3" s="25"/>
      <c r="K3" s="23" t="s">
        <v>153</v>
      </c>
      <c r="L3" s="25"/>
      <c r="M3" s="23" t="s">
        <v>189</v>
      </c>
      <c r="N3" s="24"/>
      <c r="O3" s="25"/>
      <c r="P3" s="23" t="s">
        <v>74</v>
      </c>
      <c r="Q3" s="25"/>
      <c r="R3" s="23" t="s">
        <v>77</v>
      </c>
      <c r="S3" s="25"/>
      <c r="U3" s="23" t="s">
        <v>615</v>
      </c>
      <c r="V3" s="25"/>
      <c r="X3" s="23" t="s">
        <v>80</v>
      </c>
      <c r="Y3" s="24"/>
      <c r="Z3" s="24"/>
      <c r="AA3" s="25"/>
      <c r="AB3" s="23" t="s">
        <v>84</v>
      </c>
      <c r="AC3" s="24"/>
      <c r="AD3" s="25"/>
      <c r="AE3" s="23" t="s">
        <v>85</v>
      </c>
      <c r="AF3" s="25"/>
      <c r="AG3" s="11" t="s">
        <v>201</v>
      </c>
    </row>
    <row r="4" spans="1:43" s="11" customFormat="1" ht="26.25" thickBot="1" x14ac:dyDescent="0.25">
      <c r="B4" s="15" t="s">
        <v>67</v>
      </c>
      <c r="C4" s="15" t="s">
        <v>68</v>
      </c>
      <c r="D4" s="15" t="s">
        <v>10</v>
      </c>
      <c r="E4" s="15" t="s">
        <v>90</v>
      </c>
      <c r="F4" s="15" t="s">
        <v>91</v>
      </c>
      <c r="G4" s="14" t="s">
        <v>70</v>
      </c>
      <c r="H4" s="14" t="s">
        <v>71</v>
      </c>
      <c r="I4" s="15" t="s">
        <v>72</v>
      </c>
      <c r="J4" s="15" t="s">
        <v>73</v>
      </c>
      <c r="K4" s="15" t="s">
        <v>151</v>
      </c>
      <c r="L4" s="15" t="s">
        <v>152</v>
      </c>
      <c r="M4" s="15" t="s">
        <v>188</v>
      </c>
      <c r="N4" s="15" t="s">
        <v>187</v>
      </c>
      <c r="O4" s="15" t="s">
        <v>186</v>
      </c>
      <c r="P4" s="15" t="s">
        <v>75</v>
      </c>
      <c r="Q4" s="15" t="s">
        <v>76</v>
      </c>
      <c r="R4" s="15" t="s">
        <v>75</v>
      </c>
      <c r="S4" s="15" t="s">
        <v>76</v>
      </c>
      <c r="T4" s="15" t="s">
        <v>78</v>
      </c>
      <c r="U4" s="15" t="s">
        <v>75</v>
      </c>
      <c r="V4" s="15" t="s">
        <v>76</v>
      </c>
      <c r="W4" s="15" t="s">
        <v>79</v>
      </c>
      <c r="X4" s="15" t="s">
        <v>81</v>
      </c>
      <c r="Y4" s="15" t="s">
        <v>82</v>
      </c>
      <c r="Z4" s="15" t="s">
        <v>83</v>
      </c>
      <c r="AA4" s="15" t="s">
        <v>14</v>
      </c>
      <c r="AB4" s="15" t="s">
        <v>82</v>
      </c>
      <c r="AC4" s="15" t="s">
        <v>83</v>
      </c>
      <c r="AD4" s="15" t="s">
        <v>14</v>
      </c>
      <c r="AE4" s="15" t="s">
        <v>86</v>
      </c>
      <c r="AF4" s="15" t="s">
        <v>87</v>
      </c>
      <c r="AG4" s="15" t="s">
        <v>3</v>
      </c>
      <c r="AH4" s="11" t="s">
        <v>197</v>
      </c>
      <c r="AI4" s="11" t="s">
        <v>198</v>
      </c>
      <c r="AJ4" s="11" t="s">
        <v>199</v>
      </c>
      <c r="AK4" s="11" t="s">
        <v>200</v>
      </c>
      <c r="AL4" s="11" t="s">
        <v>3</v>
      </c>
    </row>
    <row r="5" spans="1:43" ht="18.600000000000001" customHeight="1" x14ac:dyDescent="0.2">
      <c r="B5" s="19"/>
      <c r="C5" s="19"/>
      <c r="D5" s="19"/>
      <c r="E5" s="19"/>
      <c r="F5" s="19"/>
      <c r="G5" s="29" t="s">
        <v>610</v>
      </c>
      <c r="H5" s="27"/>
      <c r="I5" s="26"/>
      <c r="J5" s="26"/>
      <c r="K5" s="26"/>
      <c r="L5" s="26"/>
      <c r="M5" s="26"/>
      <c r="N5" s="26"/>
      <c r="O5" s="27"/>
      <c r="P5" s="26"/>
      <c r="Q5" s="19">
        <v>99</v>
      </c>
      <c r="R5" s="26"/>
      <c r="S5" s="19">
        <v>99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19"/>
    </row>
    <row r="6" spans="1:43" ht="18.600000000000001" customHeight="1" collapsed="1" x14ac:dyDescent="0.2">
      <c r="B6" s="19"/>
      <c r="C6" s="19"/>
      <c r="D6" s="19"/>
      <c r="E6" s="19"/>
      <c r="F6" s="19"/>
      <c r="G6" s="20" t="s">
        <v>616</v>
      </c>
      <c r="H6" s="27" t="s">
        <v>2099</v>
      </c>
      <c r="I6" s="26" t="s">
        <v>2100</v>
      </c>
      <c r="J6" s="26"/>
      <c r="K6" s="26"/>
      <c r="L6" s="26"/>
      <c r="M6" s="26"/>
      <c r="N6" s="26"/>
      <c r="O6" s="27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19"/>
    </row>
    <row r="7" spans="1:43" ht="18.600000000000001" hidden="1" customHeight="1" outlineLevel="1" x14ac:dyDescent="0.2">
      <c r="B7" s="26"/>
      <c r="C7" s="26"/>
      <c r="D7" s="19"/>
      <c r="E7" s="19"/>
      <c r="F7" s="19"/>
      <c r="G7" s="28" t="s">
        <v>601</v>
      </c>
      <c r="H7" s="27" t="s">
        <v>2099</v>
      </c>
      <c r="I7" s="19"/>
      <c r="J7" s="19"/>
      <c r="K7" s="19"/>
      <c r="L7" s="19"/>
      <c r="M7" s="19"/>
      <c r="N7" s="19"/>
      <c r="O7" s="17"/>
      <c r="P7" s="19"/>
      <c r="Q7" s="19"/>
      <c r="R7" s="19"/>
      <c r="S7" s="19"/>
      <c r="T7" s="19"/>
      <c r="U7" s="19"/>
      <c r="V7" s="19"/>
      <c r="W7" s="26"/>
      <c r="X7" s="26"/>
      <c r="Y7" s="26"/>
      <c r="Z7" s="26"/>
      <c r="AA7" s="26"/>
      <c r="AB7" s="26"/>
      <c r="AC7" s="26"/>
      <c r="AD7" s="26"/>
      <c r="AE7" s="19"/>
      <c r="AF7" s="19"/>
      <c r="AG7" s="19"/>
    </row>
    <row r="8" spans="1:43" ht="18.600000000000001" customHeight="1" collapsed="1" x14ac:dyDescent="0.2">
      <c r="B8" s="19"/>
      <c r="C8" s="19"/>
      <c r="D8" s="19"/>
      <c r="E8" s="19"/>
      <c r="F8" s="19"/>
      <c r="G8" s="20" t="s">
        <v>616</v>
      </c>
      <c r="H8" s="27" t="s">
        <v>577</v>
      </c>
      <c r="I8" s="26" t="s">
        <v>578</v>
      </c>
      <c r="J8" s="26"/>
      <c r="K8" s="26"/>
      <c r="L8" s="26"/>
      <c r="M8" s="26"/>
      <c r="N8" s="26"/>
      <c r="O8" s="27"/>
      <c r="P8" s="26"/>
      <c r="Q8" s="26">
        <v>2</v>
      </c>
      <c r="R8" s="26"/>
      <c r="S8" s="26">
        <v>2</v>
      </c>
      <c r="T8" s="26" t="s">
        <v>76</v>
      </c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19"/>
      <c r="AQ8" s="10" t="s">
        <v>606</v>
      </c>
    </row>
    <row r="9" spans="1:43" ht="18.600000000000001" hidden="1" customHeight="1" outlineLevel="1" x14ac:dyDescent="0.2">
      <c r="B9" s="26"/>
      <c r="C9" s="26"/>
      <c r="D9" s="19"/>
      <c r="E9" s="19"/>
      <c r="F9" s="19"/>
      <c r="G9" s="28" t="s">
        <v>601</v>
      </c>
      <c r="H9" s="27" t="s">
        <v>577</v>
      </c>
      <c r="I9" s="19"/>
      <c r="J9" s="19"/>
      <c r="K9" s="19"/>
      <c r="L9" s="19"/>
      <c r="M9" s="19"/>
      <c r="N9" s="19"/>
      <c r="O9" s="17"/>
      <c r="P9" s="19"/>
      <c r="Q9" s="19"/>
      <c r="R9" s="19"/>
      <c r="S9" s="19"/>
      <c r="T9" s="19"/>
      <c r="U9" s="19"/>
      <c r="V9" s="19"/>
      <c r="W9" s="26"/>
      <c r="X9" s="26"/>
      <c r="Y9" s="26"/>
      <c r="Z9" s="26"/>
      <c r="AA9" s="26"/>
      <c r="AB9" s="26"/>
      <c r="AC9" s="26"/>
      <c r="AD9" s="26"/>
      <c r="AE9" s="19"/>
      <c r="AF9" s="19"/>
      <c r="AG9" s="19"/>
    </row>
    <row r="10" spans="1:43" ht="18.600000000000001" hidden="1" customHeight="1" outlineLevel="1" x14ac:dyDescent="0.2">
      <c r="B10" s="26"/>
      <c r="C10" s="26"/>
      <c r="D10" s="19"/>
      <c r="E10" s="19"/>
      <c r="F10" s="19"/>
      <c r="G10" s="28" t="s">
        <v>601</v>
      </c>
      <c r="H10" s="27" t="s">
        <v>577</v>
      </c>
      <c r="I10" s="19" t="s">
        <v>570</v>
      </c>
      <c r="J10" s="19"/>
      <c r="K10" s="19"/>
      <c r="L10" s="19"/>
      <c r="M10" s="19"/>
      <c r="N10" s="19"/>
      <c r="O10" s="17"/>
      <c r="P10" s="19"/>
      <c r="Q10" s="19">
        <v>2</v>
      </c>
      <c r="R10" s="19"/>
      <c r="S10" s="19">
        <v>4</v>
      </c>
      <c r="T10" s="19" t="s">
        <v>76</v>
      </c>
      <c r="U10" s="19"/>
      <c r="V10" s="19"/>
      <c r="W10" s="26"/>
      <c r="X10" s="26"/>
      <c r="Y10" s="26"/>
      <c r="Z10" s="26"/>
      <c r="AA10" s="26"/>
      <c r="AB10" s="26"/>
      <c r="AC10" s="26"/>
      <c r="AD10" s="26"/>
      <c r="AE10" s="19"/>
      <c r="AF10" s="19"/>
      <c r="AG10" s="19"/>
      <c r="AQ10" s="10" t="s">
        <v>605</v>
      </c>
    </row>
    <row r="11" spans="1:43" ht="18.600000000000001" hidden="1" customHeight="1" outlineLevel="1" x14ac:dyDescent="0.2">
      <c r="B11" s="26"/>
      <c r="C11" s="26"/>
      <c r="D11" s="19"/>
      <c r="E11" s="19"/>
      <c r="F11" s="19"/>
      <c r="G11" s="28" t="s">
        <v>601</v>
      </c>
      <c r="H11" s="27" t="s">
        <v>577</v>
      </c>
      <c r="I11" s="19"/>
      <c r="J11" s="19"/>
      <c r="K11" s="19">
        <v>-1</v>
      </c>
      <c r="L11" s="19">
        <v>1</v>
      </c>
      <c r="M11" s="19"/>
      <c r="N11" s="19"/>
      <c r="O11" s="17"/>
      <c r="P11" s="19"/>
      <c r="Q11" s="19">
        <v>2</v>
      </c>
      <c r="R11" s="19"/>
      <c r="S11" s="19">
        <v>13</v>
      </c>
      <c r="T11" s="19" t="s">
        <v>76</v>
      </c>
      <c r="U11" s="19"/>
      <c r="V11" s="19"/>
      <c r="W11" s="26"/>
      <c r="X11" s="26"/>
      <c r="Y11" s="26"/>
      <c r="Z11" s="26"/>
      <c r="AA11" s="26"/>
      <c r="AB11" s="26"/>
      <c r="AC11" s="26"/>
      <c r="AD11" s="26"/>
      <c r="AE11" s="19"/>
      <c r="AF11" s="19"/>
      <c r="AG11" s="19"/>
      <c r="AQ11" s="10" t="s">
        <v>604</v>
      </c>
    </row>
    <row r="12" spans="1:43" ht="18.600000000000001" hidden="1" customHeight="1" outlineLevel="1" x14ac:dyDescent="0.2">
      <c r="B12" s="26"/>
      <c r="C12" s="26"/>
      <c r="D12" s="19"/>
      <c r="E12" s="19"/>
      <c r="F12" s="19"/>
      <c r="G12" s="28" t="s">
        <v>601</v>
      </c>
      <c r="H12" s="27" t="s">
        <v>577</v>
      </c>
      <c r="I12" s="19" t="s">
        <v>580</v>
      </c>
      <c r="J12" s="19"/>
      <c r="K12" s="19"/>
      <c r="L12" s="19"/>
      <c r="M12" s="19"/>
      <c r="N12" s="19"/>
      <c r="O12" s="17"/>
      <c r="P12" s="19"/>
      <c r="Q12" s="19">
        <v>2</v>
      </c>
      <c r="R12" s="19"/>
      <c r="S12" s="19">
        <v>3</v>
      </c>
      <c r="T12" s="19" t="s">
        <v>76</v>
      </c>
      <c r="U12" s="19"/>
      <c r="V12" s="19"/>
      <c r="W12" s="26"/>
      <c r="X12" s="26"/>
      <c r="Y12" s="26"/>
      <c r="Z12" s="26"/>
      <c r="AA12" s="26"/>
      <c r="AB12" s="26"/>
      <c r="AC12" s="26"/>
      <c r="AD12" s="26"/>
      <c r="AE12" s="19"/>
      <c r="AF12" s="19"/>
      <c r="AG12" s="19"/>
      <c r="AQ12" s="10" t="s">
        <v>606</v>
      </c>
    </row>
    <row r="13" spans="1:43" ht="18.600000000000001" customHeight="1" collapsed="1" x14ac:dyDescent="0.2">
      <c r="B13" s="19"/>
      <c r="C13" s="19"/>
      <c r="D13" s="19"/>
      <c r="E13" s="19"/>
      <c r="F13" s="19"/>
      <c r="G13" s="20" t="s">
        <v>216</v>
      </c>
      <c r="H13" s="17" t="s">
        <v>553</v>
      </c>
      <c r="I13" s="19" t="s">
        <v>2101</v>
      </c>
      <c r="J13" s="19"/>
      <c r="K13" s="26"/>
      <c r="L13" s="26"/>
      <c r="M13" s="26"/>
      <c r="N13" s="26"/>
      <c r="O13" s="27"/>
      <c r="P13" s="19"/>
      <c r="Q13" s="19">
        <v>2</v>
      </c>
      <c r="R13" s="19"/>
      <c r="S13" s="19">
        <v>13</v>
      </c>
      <c r="T13" s="19" t="s">
        <v>76</v>
      </c>
      <c r="U13" s="19"/>
      <c r="V13" s="19"/>
      <c r="W13" s="26"/>
      <c r="X13" s="19"/>
      <c r="Y13" s="19"/>
      <c r="Z13" s="19"/>
      <c r="AA13" s="26"/>
      <c r="AB13" s="19"/>
      <c r="AC13" s="19"/>
      <c r="AD13" s="26"/>
      <c r="AE13" s="19"/>
      <c r="AF13" s="19"/>
      <c r="AG13" s="19"/>
    </row>
    <row r="14" spans="1:43" ht="18.600000000000001" hidden="1" customHeight="1" outlineLevel="1" x14ac:dyDescent="0.2">
      <c r="B14" s="26"/>
      <c r="C14" s="26"/>
      <c r="D14" s="19"/>
      <c r="E14" s="19"/>
      <c r="F14" s="19"/>
      <c r="G14" s="28" t="s">
        <v>601</v>
      </c>
      <c r="H14" s="27" t="s">
        <v>553</v>
      </c>
      <c r="I14" s="19"/>
      <c r="J14" s="19"/>
      <c r="K14" s="19">
        <v>-9.9999999999999995E-8</v>
      </c>
      <c r="L14" s="19">
        <v>9.9999999999999995E-8</v>
      </c>
      <c r="M14" s="19"/>
      <c r="N14" s="19"/>
      <c r="O14" s="17"/>
      <c r="P14" s="19"/>
      <c r="Q14" s="19"/>
      <c r="R14" s="19"/>
      <c r="S14" s="19"/>
      <c r="T14" s="19"/>
      <c r="U14" s="19"/>
      <c r="V14" s="19"/>
      <c r="W14" s="26"/>
      <c r="X14" s="26"/>
      <c r="Y14" s="26"/>
      <c r="Z14" s="26"/>
      <c r="AA14" s="26"/>
      <c r="AB14" s="26"/>
      <c r="AC14" s="26"/>
      <c r="AD14" s="26"/>
      <c r="AE14" s="19"/>
      <c r="AF14" s="19"/>
      <c r="AG14" s="19"/>
    </row>
    <row r="15" spans="1:43" ht="18.600000000000001" hidden="1" customHeight="1" outlineLevel="1" x14ac:dyDescent="0.2">
      <c r="B15" s="26"/>
      <c r="C15" s="26"/>
      <c r="D15" s="19"/>
      <c r="E15" s="19"/>
      <c r="F15" s="19"/>
      <c r="G15" s="28" t="s">
        <v>601</v>
      </c>
      <c r="H15" s="27" t="s">
        <v>553</v>
      </c>
      <c r="I15" s="19"/>
      <c r="J15" s="19"/>
      <c r="K15" s="19">
        <v>-9.9999999999999995E-8</v>
      </c>
      <c r="L15" s="19">
        <v>9.9999999999999995E-8</v>
      </c>
      <c r="M15" s="19"/>
      <c r="N15" s="19"/>
      <c r="O15" s="17"/>
      <c r="P15" s="19"/>
      <c r="Q15" s="19"/>
      <c r="R15" s="19"/>
      <c r="S15" s="19"/>
      <c r="T15" s="19"/>
      <c r="U15" s="19"/>
      <c r="V15" s="19"/>
      <c r="W15" s="26"/>
      <c r="X15" s="26"/>
      <c r="Y15" s="26"/>
      <c r="Z15" s="26"/>
      <c r="AA15" s="26"/>
      <c r="AB15" s="26"/>
      <c r="AC15" s="26"/>
      <c r="AD15" s="26"/>
      <c r="AE15" s="19"/>
      <c r="AF15" s="19"/>
      <c r="AG15" s="19"/>
    </row>
    <row r="16" spans="1:43" ht="18.600000000000001" hidden="1" customHeight="1" outlineLevel="1" x14ac:dyDescent="0.2">
      <c r="B16" s="26"/>
      <c r="C16" s="26"/>
      <c r="D16" s="19"/>
      <c r="E16" s="19"/>
      <c r="F16" s="19"/>
      <c r="G16" s="28" t="s">
        <v>601</v>
      </c>
      <c r="H16" s="27" t="s">
        <v>553</v>
      </c>
      <c r="I16" s="19" t="s">
        <v>555</v>
      </c>
      <c r="J16" s="19"/>
      <c r="K16" s="19"/>
      <c r="L16" s="19"/>
      <c r="M16" s="19"/>
      <c r="N16" s="19"/>
      <c r="O16" s="17"/>
      <c r="P16" s="19"/>
      <c r="Q16" s="19">
        <v>2</v>
      </c>
      <c r="R16" s="19"/>
      <c r="S16" s="19">
        <v>18</v>
      </c>
      <c r="T16" s="19" t="s">
        <v>76</v>
      </c>
      <c r="U16" s="19"/>
      <c r="V16" s="19"/>
      <c r="W16" s="26"/>
      <c r="X16" s="26"/>
      <c r="Y16" s="26"/>
      <c r="Z16" s="26"/>
      <c r="AA16" s="26"/>
      <c r="AB16" s="26"/>
      <c r="AC16" s="26"/>
      <c r="AD16" s="26"/>
      <c r="AE16" s="19"/>
      <c r="AF16" s="19"/>
      <c r="AG16" s="19"/>
      <c r="AQ16" s="10" t="s">
        <v>603</v>
      </c>
    </row>
    <row r="17" spans="2:33" ht="18.600000000000001" hidden="1" customHeight="1" outlineLevel="1" x14ac:dyDescent="0.2">
      <c r="B17" s="26"/>
      <c r="C17" s="26"/>
      <c r="D17" s="19"/>
      <c r="E17" s="19"/>
      <c r="F17" s="19"/>
      <c r="G17" s="28" t="s">
        <v>601</v>
      </c>
      <c r="H17" s="27" t="s">
        <v>553</v>
      </c>
      <c r="I17" s="19"/>
      <c r="J17" s="19"/>
      <c r="K17" s="19">
        <v>7.9999999999999996E-6</v>
      </c>
      <c r="L17" s="19">
        <v>1.2E-5</v>
      </c>
      <c r="M17" s="19"/>
      <c r="N17" s="19"/>
      <c r="O17" s="17"/>
      <c r="P17" s="19"/>
      <c r="Q17" s="19"/>
      <c r="R17" s="19"/>
      <c r="S17" s="19"/>
      <c r="T17" s="19"/>
      <c r="U17" s="19"/>
      <c r="V17" s="19"/>
      <c r="W17" s="26"/>
      <c r="X17" s="26"/>
      <c r="Y17" s="26"/>
      <c r="Z17" s="26"/>
      <c r="AA17" s="26"/>
      <c r="AB17" s="26"/>
      <c r="AC17" s="26"/>
      <c r="AD17" s="26"/>
      <c r="AE17" s="19"/>
      <c r="AF17" s="19"/>
      <c r="AG17" s="19"/>
    </row>
    <row r="18" spans="2:33" ht="18.600000000000001" hidden="1" customHeight="1" outlineLevel="1" x14ac:dyDescent="0.2">
      <c r="B18" s="26"/>
      <c r="C18" s="26"/>
      <c r="D18" s="19"/>
      <c r="E18" s="19"/>
      <c r="F18" s="19"/>
      <c r="G18" s="28" t="s">
        <v>601</v>
      </c>
      <c r="H18" s="27" t="s">
        <v>553</v>
      </c>
      <c r="I18" s="19"/>
      <c r="J18" s="19"/>
      <c r="K18" s="19">
        <v>7.9999999999999996E-6</v>
      </c>
      <c r="L18" s="19">
        <v>1.2E-5</v>
      </c>
      <c r="M18" s="19"/>
      <c r="N18" s="19"/>
      <c r="O18" s="17"/>
      <c r="P18" s="19"/>
      <c r="Q18" s="19"/>
      <c r="R18" s="19"/>
      <c r="S18" s="19"/>
      <c r="T18" s="19"/>
      <c r="U18" s="19"/>
      <c r="V18" s="19"/>
      <c r="W18" s="26"/>
      <c r="X18" s="26"/>
      <c r="Y18" s="26"/>
      <c r="Z18" s="26"/>
      <c r="AA18" s="26"/>
      <c r="AB18" s="26"/>
      <c r="AC18" s="26"/>
      <c r="AD18" s="26"/>
      <c r="AE18" s="19"/>
      <c r="AF18" s="19"/>
      <c r="AG18" s="19"/>
    </row>
    <row r="19" spans="2:33" ht="18.600000000000001" hidden="1" customHeight="1" outlineLevel="1" x14ac:dyDescent="0.2">
      <c r="B19" s="26"/>
      <c r="C19" s="26"/>
      <c r="D19" s="19"/>
      <c r="E19" s="19"/>
      <c r="F19" s="19"/>
      <c r="G19" s="28" t="s">
        <v>601</v>
      </c>
      <c r="H19" s="27" t="s">
        <v>553</v>
      </c>
      <c r="I19" s="19"/>
      <c r="J19" s="19"/>
      <c r="K19" s="19">
        <v>7.9999999999999996E-6</v>
      </c>
      <c r="L19" s="19">
        <v>1.2E-5</v>
      </c>
      <c r="M19" s="19"/>
      <c r="N19" s="19"/>
      <c r="O19" s="17"/>
      <c r="P19" s="19"/>
      <c r="Q19" s="19"/>
      <c r="R19" s="19"/>
      <c r="S19" s="19"/>
      <c r="T19" s="19"/>
      <c r="U19" s="19"/>
      <c r="V19" s="19"/>
      <c r="W19" s="26"/>
      <c r="X19" s="26"/>
      <c r="Y19" s="26"/>
      <c r="Z19" s="26"/>
      <c r="AA19" s="26"/>
      <c r="AB19" s="26"/>
      <c r="AC19" s="26"/>
      <c r="AD19" s="26"/>
      <c r="AE19" s="19"/>
      <c r="AF19" s="19"/>
      <c r="AG19" s="19"/>
    </row>
    <row r="20" spans="2:33" ht="18.600000000000001" hidden="1" customHeight="1" outlineLevel="1" x14ac:dyDescent="0.2">
      <c r="B20" s="26"/>
      <c r="C20" s="26"/>
      <c r="D20" s="19"/>
      <c r="E20" s="19"/>
      <c r="F20" s="19"/>
      <c r="G20" s="28" t="s">
        <v>601</v>
      </c>
      <c r="H20" s="27" t="s">
        <v>553</v>
      </c>
      <c r="I20" s="19"/>
      <c r="J20" s="19"/>
      <c r="K20" s="19">
        <v>7.9999999999999996E-6</v>
      </c>
      <c r="L20" s="19">
        <v>1.2E-5</v>
      </c>
      <c r="M20" s="19"/>
      <c r="N20" s="19"/>
      <c r="O20" s="17"/>
      <c r="P20" s="19"/>
      <c r="Q20" s="19"/>
      <c r="R20" s="19"/>
      <c r="S20" s="19"/>
      <c r="T20" s="19"/>
      <c r="U20" s="19"/>
      <c r="V20" s="19"/>
      <c r="W20" s="26"/>
      <c r="X20" s="26"/>
      <c r="Y20" s="26"/>
      <c r="Z20" s="26"/>
      <c r="AA20" s="26"/>
      <c r="AB20" s="26"/>
      <c r="AC20" s="26"/>
      <c r="AD20" s="26"/>
      <c r="AE20" s="19"/>
      <c r="AF20" s="19"/>
      <c r="AG20" s="19"/>
    </row>
    <row r="21" spans="2:33" ht="18.600000000000001" hidden="1" customHeight="1" outlineLevel="1" x14ac:dyDescent="0.2">
      <c r="B21" s="26"/>
      <c r="C21" s="26"/>
      <c r="D21" s="19"/>
      <c r="E21" s="19"/>
      <c r="F21" s="19"/>
      <c r="G21" s="28" t="s">
        <v>601</v>
      </c>
      <c r="H21" s="27" t="s">
        <v>553</v>
      </c>
      <c r="I21" s="19"/>
      <c r="J21" s="19"/>
      <c r="K21" s="19">
        <v>7.9999999999999996E-6</v>
      </c>
      <c r="L21" s="19">
        <v>1.2E-5</v>
      </c>
      <c r="M21" s="19"/>
      <c r="N21" s="19"/>
      <c r="O21" s="17"/>
      <c r="P21" s="19"/>
      <c r="Q21" s="19"/>
      <c r="R21" s="19"/>
      <c r="S21" s="19"/>
      <c r="T21" s="19"/>
      <c r="U21" s="19"/>
      <c r="V21" s="19"/>
      <c r="W21" s="26"/>
      <c r="X21" s="26"/>
      <c r="Y21" s="26"/>
      <c r="Z21" s="26"/>
      <c r="AA21" s="26"/>
      <c r="AB21" s="26"/>
      <c r="AC21" s="26"/>
      <c r="AD21" s="26"/>
      <c r="AE21" s="19"/>
      <c r="AF21" s="19"/>
      <c r="AG21" s="19"/>
    </row>
    <row r="22" spans="2:33" ht="18.600000000000001" hidden="1" customHeight="1" outlineLevel="1" x14ac:dyDescent="0.2">
      <c r="B22" s="26"/>
      <c r="C22" s="26"/>
      <c r="D22" s="19"/>
      <c r="E22" s="19"/>
      <c r="F22" s="19"/>
      <c r="G22" s="28" t="s">
        <v>601</v>
      </c>
      <c r="H22" s="27" t="s">
        <v>553</v>
      </c>
      <c r="I22" s="19"/>
      <c r="J22" s="19"/>
      <c r="K22" s="19">
        <v>7.9999999999999996E-6</v>
      </c>
      <c r="L22" s="19">
        <v>1.2E-5</v>
      </c>
      <c r="M22" s="19"/>
      <c r="N22" s="19"/>
      <c r="O22" s="17"/>
      <c r="P22" s="19"/>
      <c r="Q22" s="19"/>
      <c r="R22" s="19"/>
      <c r="S22" s="19"/>
      <c r="T22" s="19"/>
      <c r="U22" s="19"/>
      <c r="V22" s="19"/>
      <c r="W22" s="26"/>
      <c r="X22" s="26"/>
      <c r="Y22" s="26"/>
      <c r="Z22" s="26"/>
      <c r="AA22" s="26"/>
      <c r="AB22" s="26"/>
      <c r="AC22" s="26"/>
      <c r="AD22" s="26"/>
      <c r="AE22" s="19"/>
      <c r="AF22" s="19"/>
      <c r="AG22" s="19"/>
    </row>
    <row r="23" spans="2:33" ht="18.600000000000001" hidden="1" customHeight="1" outlineLevel="1" x14ac:dyDescent="0.2">
      <c r="B23" s="26"/>
      <c r="C23" s="26"/>
      <c r="D23" s="19"/>
      <c r="E23" s="19"/>
      <c r="F23" s="19"/>
      <c r="G23" s="28" t="s">
        <v>601</v>
      </c>
      <c r="H23" s="27" t="s">
        <v>553</v>
      </c>
      <c r="I23" s="19"/>
      <c r="J23" s="19"/>
      <c r="K23" s="19">
        <v>7.9999999999999996E-6</v>
      </c>
      <c r="L23" s="19">
        <v>1.2E-5</v>
      </c>
      <c r="M23" s="19"/>
      <c r="N23" s="19"/>
      <c r="O23" s="17"/>
      <c r="P23" s="19"/>
      <c r="Q23" s="19"/>
      <c r="R23" s="19"/>
      <c r="S23" s="19"/>
      <c r="T23" s="19"/>
      <c r="U23" s="19"/>
      <c r="V23" s="19"/>
      <c r="W23" s="26"/>
      <c r="X23" s="26"/>
      <c r="Y23" s="26"/>
      <c r="Z23" s="26"/>
      <c r="AA23" s="26"/>
      <c r="AB23" s="26"/>
      <c r="AC23" s="26"/>
      <c r="AD23" s="26"/>
      <c r="AE23" s="19"/>
      <c r="AF23" s="19"/>
      <c r="AG23" s="19"/>
    </row>
    <row r="24" spans="2:33" ht="18.600000000000001" hidden="1" customHeight="1" outlineLevel="1" x14ac:dyDescent="0.2">
      <c r="B24" s="26"/>
      <c r="C24" s="26"/>
      <c r="D24" s="19"/>
      <c r="E24" s="19"/>
      <c r="F24" s="19"/>
      <c r="G24" s="28" t="s">
        <v>601</v>
      </c>
      <c r="H24" s="27" t="s">
        <v>553</v>
      </c>
      <c r="I24" s="19"/>
      <c r="J24" s="19"/>
      <c r="K24" s="19">
        <v>7.9999999999999996E-6</v>
      </c>
      <c r="L24" s="19">
        <v>1.2E-5</v>
      </c>
      <c r="M24" s="19"/>
      <c r="N24" s="19"/>
      <c r="O24" s="17"/>
      <c r="P24" s="19"/>
      <c r="Q24" s="19"/>
      <c r="R24" s="19"/>
      <c r="S24" s="19"/>
      <c r="T24" s="19"/>
      <c r="U24" s="19"/>
      <c r="V24" s="19"/>
      <c r="W24" s="26"/>
      <c r="X24" s="26"/>
      <c r="Y24" s="26"/>
      <c r="Z24" s="26"/>
      <c r="AA24" s="26"/>
      <c r="AB24" s="26"/>
      <c r="AC24" s="26"/>
      <c r="AD24" s="26"/>
      <c r="AE24" s="19"/>
      <c r="AF24" s="19"/>
      <c r="AG24" s="19"/>
    </row>
    <row r="25" spans="2:33" ht="18.600000000000001" hidden="1" customHeight="1" outlineLevel="1" x14ac:dyDescent="0.2">
      <c r="B25" s="26"/>
      <c r="C25" s="26"/>
      <c r="D25" s="19"/>
      <c r="E25" s="19"/>
      <c r="F25" s="19"/>
      <c r="G25" s="28" t="s">
        <v>601</v>
      </c>
      <c r="H25" s="27" t="s">
        <v>553</v>
      </c>
      <c r="I25" s="19"/>
      <c r="J25" s="19"/>
      <c r="K25" s="19">
        <v>7.9999999999999996E-6</v>
      </c>
      <c r="L25" s="19">
        <v>1.2E-5</v>
      </c>
      <c r="M25" s="19"/>
      <c r="N25" s="19"/>
      <c r="O25" s="17"/>
      <c r="P25" s="19"/>
      <c r="Q25" s="19"/>
      <c r="R25" s="19"/>
      <c r="S25" s="19"/>
      <c r="T25" s="19"/>
      <c r="U25" s="19"/>
      <c r="V25" s="19"/>
      <c r="W25" s="26"/>
      <c r="X25" s="26"/>
      <c r="Y25" s="26"/>
      <c r="Z25" s="26"/>
      <c r="AA25" s="26"/>
      <c r="AB25" s="26"/>
      <c r="AC25" s="26"/>
      <c r="AD25" s="26"/>
      <c r="AE25" s="19"/>
      <c r="AF25" s="19"/>
      <c r="AG25" s="19"/>
    </row>
    <row r="26" spans="2:33" ht="18.600000000000001" hidden="1" customHeight="1" outlineLevel="1" x14ac:dyDescent="0.2">
      <c r="B26" s="26"/>
      <c r="C26" s="26"/>
      <c r="D26" s="19"/>
      <c r="E26" s="19"/>
      <c r="F26" s="19"/>
      <c r="G26" s="28" t="s">
        <v>601</v>
      </c>
      <c r="H26" s="27" t="s">
        <v>553</v>
      </c>
      <c r="I26" s="19"/>
      <c r="J26" s="19"/>
      <c r="K26" s="19">
        <v>7.9999999999999996E-6</v>
      </c>
      <c r="L26" s="19">
        <v>1.2E-5</v>
      </c>
      <c r="M26" s="19"/>
      <c r="N26" s="19"/>
      <c r="O26" s="17"/>
      <c r="P26" s="19"/>
      <c r="Q26" s="19"/>
      <c r="R26" s="19"/>
      <c r="S26" s="19"/>
      <c r="T26" s="19"/>
      <c r="U26" s="19"/>
      <c r="V26" s="19"/>
      <c r="W26" s="26"/>
      <c r="X26" s="26"/>
      <c r="Y26" s="26"/>
      <c r="Z26" s="26"/>
      <c r="AA26" s="26"/>
      <c r="AB26" s="26"/>
      <c r="AC26" s="26"/>
      <c r="AD26" s="26"/>
      <c r="AE26" s="19"/>
      <c r="AF26" s="19"/>
      <c r="AG26" s="19"/>
    </row>
    <row r="27" spans="2:33" ht="18.600000000000001" hidden="1" customHeight="1" outlineLevel="1" x14ac:dyDescent="0.2">
      <c r="B27" s="26"/>
      <c r="C27" s="26"/>
      <c r="D27" s="19"/>
      <c r="E27" s="19"/>
      <c r="F27" s="19"/>
      <c r="G27" s="28" t="s">
        <v>601</v>
      </c>
      <c r="H27" s="27" t="s">
        <v>553</v>
      </c>
      <c r="I27" s="19"/>
      <c r="J27" s="19"/>
      <c r="K27" s="19">
        <v>7.9999999999999996E-6</v>
      </c>
      <c r="L27" s="19">
        <v>1.2E-5</v>
      </c>
      <c r="M27" s="19"/>
      <c r="N27" s="19"/>
      <c r="O27" s="17"/>
      <c r="P27" s="19"/>
      <c r="Q27" s="19"/>
      <c r="R27" s="19"/>
      <c r="S27" s="19"/>
      <c r="T27" s="19"/>
      <c r="U27" s="19"/>
      <c r="V27" s="19"/>
      <c r="W27" s="26"/>
      <c r="X27" s="26"/>
      <c r="Y27" s="26"/>
      <c r="Z27" s="26"/>
      <c r="AA27" s="26"/>
      <c r="AB27" s="26"/>
      <c r="AC27" s="26"/>
      <c r="AD27" s="26"/>
      <c r="AE27" s="19"/>
      <c r="AF27" s="19"/>
      <c r="AG27" s="19"/>
    </row>
    <row r="28" spans="2:33" ht="18.600000000000001" hidden="1" customHeight="1" outlineLevel="1" x14ac:dyDescent="0.2">
      <c r="B28" s="26"/>
      <c r="C28" s="26"/>
      <c r="D28" s="19"/>
      <c r="E28" s="19"/>
      <c r="F28" s="19"/>
      <c r="G28" s="28" t="s">
        <v>601</v>
      </c>
      <c r="H28" s="27" t="s">
        <v>553</v>
      </c>
      <c r="I28" s="19"/>
      <c r="J28" s="19"/>
      <c r="K28" s="19">
        <v>7.9999999999999996E-6</v>
      </c>
      <c r="L28" s="19">
        <v>1.2E-5</v>
      </c>
      <c r="M28" s="19"/>
      <c r="N28" s="19"/>
      <c r="O28" s="17"/>
      <c r="P28" s="19"/>
      <c r="Q28" s="19"/>
      <c r="R28" s="19"/>
      <c r="S28" s="19"/>
      <c r="T28" s="19"/>
      <c r="U28" s="19"/>
      <c r="V28" s="19"/>
      <c r="W28" s="26"/>
      <c r="X28" s="26"/>
      <c r="Y28" s="26"/>
      <c r="Z28" s="26"/>
      <c r="AA28" s="26"/>
      <c r="AB28" s="26"/>
      <c r="AC28" s="26"/>
      <c r="AD28" s="26"/>
      <c r="AE28" s="19"/>
      <c r="AF28" s="19"/>
      <c r="AG28" s="19"/>
    </row>
    <row r="29" spans="2:33" ht="18.600000000000001" hidden="1" customHeight="1" outlineLevel="1" x14ac:dyDescent="0.2">
      <c r="B29" s="26"/>
      <c r="C29" s="26"/>
      <c r="D29" s="19"/>
      <c r="E29" s="19"/>
      <c r="F29" s="19"/>
      <c r="G29" s="28" t="s">
        <v>601</v>
      </c>
      <c r="H29" s="27" t="s">
        <v>553</v>
      </c>
      <c r="I29" s="19"/>
      <c r="J29" s="19"/>
      <c r="K29" s="19">
        <v>7.9999999999999996E-6</v>
      </c>
      <c r="L29" s="19">
        <v>1.2E-5</v>
      </c>
      <c r="M29" s="19"/>
      <c r="N29" s="19"/>
      <c r="O29" s="17"/>
      <c r="P29" s="19"/>
      <c r="Q29" s="19"/>
      <c r="R29" s="19"/>
      <c r="S29" s="19"/>
      <c r="T29" s="19"/>
      <c r="U29" s="19"/>
      <c r="V29" s="19"/>
      <c r="W29" s="26"/>
      <c r="X29" s="26"/>
      <c r="Y29" s="26"/>
      <c r="Z29" s="26"/>
      <c r="AA29" s="26"/>
      <c r="AB29" s="26"/>
      <c r="AC29" s="26"/>
      <c r="AD29" s="26"/>
      <c r="AE29" s="19"/>
      <c r="AF29" s="19"/>
      <c r="AG29" s="19"/>
    </row>
    <row r="30" spans="2:33" ht="18.600000000000001" hidden="1" customHeight="1" outlineLevel="1" x14ac:dyDescent="0.2">
      <c r="B30" s="26"/>
      <c r="C30" s="26"/>
      <c r="D30" s="19"/>
      <c r="E30" s="19"/>
      <c r="F30" s="19"/>
      <c r="G30" s="28" t="s">
        <v>601</v>
      </c>
      <c r="H30" s="27" t="s">
        <v>553</v>
      </c>
      <c r="I30" s="19"/>
      <c r="J30" s="19"/>
      <c r="K30" s="19">
        <v>7.9999999999999996E-6</v>
      </c>
      <c r="L30" s="19">
        <v>1.2E-5</v>
      </c>
      <c r="M30" s="19"/>
      <c r="N30" s="19"/>
      <c r="O30" s="17"/>
      <c r="P30" s="19"/>
      <c r="Q30" s="19"/>
      <c r="R30" s="19"/>
      <c r="S30" s="19"/>
      <c r="T30" s="19"/>
      <c r="U30" s="19"/>
      <c r="V30" s="19"/>
      <c r="W30" s="26"/>
      <c r="X30" s="26"/>
      <c r="Y30" s="26"/>
      <c r="Z30" s="26"/>
      <c r="AA30" s="26"/>
      <c r="AB30" s="26"/>
      <c r="AC30" s="26"/>
      <c r="AD30" s="26"/>
      <c r="AE30" s="19"/>
      <c r="AF30" s="19"/>
      <c r="AG30" s="19"/>
    </row>
    <row r="31" spans="2:33" ht="18.600000000000001" hidden="1" customHeight="1" outlineLevel="1" x14ac:dyDescent="0.2">
      <c r="B31" s="26"/>
      <c r="C31" s="26"/>
      <c r="D31" s="19"/>
      <c r="E31" s="19"/>
      <c r="F31" s="19"/>
      <c r="G31" s="28" t="s">
        <v>601</v>
      </c>
      <c r="H31" s="27" t="s">
        <v>553</v>
      </c>
      <c r="I31" s="19"/>
      <c r="J31" s="19"/>
      <c r="K31" s="19">
        <v>7.9999999999999996E-6</v>
      </c>
      <c r="L31" s="19">
        <v>1.2E-5</v>
      </c>
      <c r="M31" s="19"/>
      <c r="N31" s="19"/>
      <c r="O31" s="17"/>
      <c r="P31" s="19"/>
      <c r="Q31" s="19"/>
      <c r="R31" s="19"/>
      <c r="S31" s="19"/>
      <c r="T31" s="19"/>
      <c r="U31" s="19"/>
      <c r="V31" s="19"/>
      <c r="W31" s="26"/>
      <c r="X31" s="26"/>
      <c r="Y31" s="26"/>
      <c r="Z31" s="26"/>
      <c r="AA31" s="26"/>
      <c r="AB31" s="26"/>
      <c r="AC31" s="26"/>
      <c r="AD31" s="26"/>
      <c r="AE31" s="19"/>
      <c r="AF31" s="19"/>
      <c r="AG31" s="19"/>
    </row>
    <row r="32" spans="2:33" ht="18.600000000000001" hidden="1" customHeight="1" outlineLevel="1" x14ac:dyDescent="0.2">
      <c r="B32" s="26"/>
      <c r="C32" s="26"/>
      <c r="D32" s="19"/>
      <c r="E32" s="19"/>
      <c r="F32" s="19"/>
      <c r="G32" s="28" t="s">
        <v>601</v>
      </c>
      <c r="H32" s="27" t="s">
        <v>553</v>
      </c>
      <c r="I32" s="19"/>
      <c r="J32" s="19"/>
      <c r="K32" s="19">
        <v>7.9999999999999996E-6</v>
      </c>
      <c r="L32" s="19">
        <v>1.2E-5</v>
      </c>
      <c r="M32" s="19"/>
      <c r="N32" s="19"/>
      <c r="O32" s="17"/>
      <c r="P32" s="19"/>
      <c r="Q32" s="19"/>
      <c r="R32" s="19"/>
      <c r="S32" s="19"/>
      <c r="T32" s="19"/>
      <c r="U32" s="19"/>
      <c r="V32" s="19"/>
      <c r="W32" s="26"/>
      <c r="X32" s="26"/>
      <c r="Y32" s="26"/>
      <c r="Z32" s="26"/>
      <c r="AA32" s="26"/>
      <c r="AB32" s="26"/>
      <c r="AC32" s="26"/>
      <c r="AD32" s="26"/>
      <c r="AE32" s="19"/>
      <c r="AF32" s="19"/>
      <c r="AG32" s="19"/>
    </row>
    <row r="33" spans="2:43" ht="18.600000000000001" hidden="1" customHeight="1" outlineLevel="1" x14ac:dyDescent="0.2">
      <c r="B33" s="26"/>
      <c r="C33" s="26"/>
      <c r="D33" s="19"/>
      <c r="E33" s="19"/>
      <c r="F33" s="19"/>
      <c r="G33" s="28" t="s">
        <v>601</v>
      </c>
      <c r="H33" s="27" t="s">
        <v>553</v>
      </c>
      <c r="I33" s="19"/>
      <c r="J33" s="19"/>
      <c r="K33" s="19">
        <v>7.9999999999999996E-6</v>
      </c>
      <c r="L33" s="19">
        <v>1.2E-5</v>
      </c>
      <c r="M33" s="19"/>
      <c r="N33" s="19"/>
      <c r="O33" s="17"/>
      <c r="P33" s="19"/>
      <c r="Q33" s="19"/>
      <c r="R33" s="19"/>
      <c r="S33" s="19"/>
      <c r="T33" s="19"/>
      <c r="U33" s="19"/>
      <c r="V33" s="19"/>
      <c r="W33" s="26"/>
      <c r="X33" s="26"/>
      <c r="Y33" s="26"/>
      <c r="Z33" s="26"/>
      <c r="AA33" s="26"/>
      <c r="AB33" s="26"/>
      <c r="AC33" s="26"/>
      <c r="AD33" s="26"/>
      <c r="AE33" s="19"/>
      <c r="AF33" s="19"/>
      <c r="AG33" s="19"/>
    </row>
    <row r="34" spans="2:43" ht="18.600000000000001" hidden="1" customHeight="1" outlineLevel="1" x14ac:dyDescent="0.2">
      <c r="B34" s="26"/>
      <c r="C34" s="26"/>
      <c r="D34" s="19"/>
      <c r="E34" s="19"/>
      <c r="F34" s="19"/>
      <c r="G34" s="28" t="s">
        <v>601</v>
      </c>
      <c r="H34" s="27" t="s">
        <v>553</v>
      </c>
      <c r="I34" s="19"/>
      <c r="J34" s="19"/>
      <c r="K34" s="19">
        <v>7.9999999999999996E-6</v>
      </c>
      <c r="L34" s="19">
        <v>1.2E-5</v>
      </c>
      <c r="M34" s="19"/>
      <c r="N34" s="19"/>
      <c r="O34" s="17"/>
      <c r="P34" s="19"/>
      <c r="Q34" s="19"/>
      <c r="R34" s="19"/>
      <c r="S34" s="19"/>
      <c r="T34" s="19"/>
      <c r="U34" s="19"/>
      <c r="V34" s="19"/>
      <c r="W34" s="26"/>
      <c r="X34" s="26"/>
      <c r="Y34" s="26"/>
      <c r="Z34" s="26"/>
      <c r="AA34" s="26"/>
      <c r="AB34" s="26"/>
      <c r="AC34" s="26"/>
      <c r="AD34" s="26"/>
      <c r="AE34" s="19"/>
      <c r="AF34" s="19"/>
      <c r="AG34" s="19"/>
    </row>
    <row r="35" spans="2:43" ht="18.600000000000001" customHeight="1" collapsed="1" x14ac:dyDescent="0.2">
      <c r="B35" s="19"/>
      <c r="C35" s="19"/>
      <c r="D35" s="19"/>
      <c r="E35" s="19"/>
      <c r="F35" s="19"/>
      <c r="G35" s="20" t="s">
        <v>216</v>
      </c>
      <c r="H35" s="17" t="s">
        <v>584</v>
      </c>
      <c r="I35" s="19" t="s">
        <v>555</v>
      </c>
      <c r="J35" s="19"/>
      <c r="K35" s="26"/>
      <c r="L35" s="26"/>
      <c r="M35" s="26"/>
      <c r="N35" s="26"/>
      <c r="O35" s="27"/>
      <c r="P35" s="19"/>
      <c r="Q35" s="19">
        <v>2</v>
      </c>
      <c r="R35" s="19"/>
      <c r="S35" s="19">
        <v>18</v>
      </c>
      <c r="T35" s="19" t="s">
        <v>76</v>
      </c>
      <c r="U35" s="19"/>
      <c r="V35" s="19"/>
      <c r="W35" s="26"/>
      <c r="X35" s="19"/>
      <c r="Y35" s="19"/>
      <c r="Z35" s="19"/>
      <c r="AA35" s="26"/>
      <c r="AB35" s="19"/>
      <c r="AC35" s="19"/>
      <c r="AD35" s="26"/>
      <c r="AE35" s="19"/>
      <c r="AF35" s="19"/>
      <c r="AG35" s="19"/>
      <c r="AQ35" s="10" t="s">
        <v>603</v>
      </c>
    </row>
    <row r="36" spans="2:43" ht="18.600000000000001" hidden="1" customHeight="1" outlineLevel="1" x14ac:dyDescent="0.2">
      <c r="B36" s="26"/>
      <c r="C36" s="26"/>
      <c r="D36" s="19"/>
      <c r="E36" s="19"/>
      <c r="F36" s="19"/>
      <c r="G36" s="28" t="s">
        <v>601</v>
      </c>
      <c r="H36" s="27" t="s">
        <v>584</v>
      </c>
      <c r="I36" s="19"/>
      <c r="J36" s="19"/>
      <c r="K36" s="19">
        <v>7.9999999999999996E-6</v>
      </c>
      <c r="L36" s="19">
        <v>1.2E-5</v>
      </c>
      <c r="M36" s="19"/>
      <c r="N36" s="19"/>
      <c r="O36" s="17"/>
      <c r="P36" s="19"/>
      <c r="Q36" s="19"/>
      <c r="R36" s="19"/>
      <c r="S36" s="19"/>
      <c r="T36" s="19"/>
      <c r="U36" s="19"/>
      <c r="V36" s="19"/>
      <c r="W36" s="26"/>
      <c r="X36" s="26"/>
      <c r="Y36" s="26"/>
      <c r="Z36" s="26"/>
      <c r="AA36" s="26"/>
      <c r="AB36" s="26"/>
      <c r="AC36" s="26"/>
      <c r="AD36" s="26"/>
      <c r="AE36" s="19"/>
      <c r="AF36" s="19"/>
      <c r="AG36" s="19"/>
    </row>
    <row r="37" spans="2:43" ht="18.600000000000001" customHeight="1" collapsed="1" x14ac:dyDescent="0.2">
      <c r="B37" s="19"/>
      <c r="C37" s="19"/>
      <c r="D37" s="19"/>
      <c r="E37" s="19"/>
      <c r="F37" s="19"/>
      <c r="G37" s="20" t="s">
        <v>216</v>
      </c>
      <c r="H37" s="17" t="s">
        <v>554</v>
      </c>
      <c r="I37" s="19" t="s">
        <v>556</v>
      </c>
      <c r="J37" s="19"/>
      <c r="K37" s="26"/>
      <c r="L37" s="26"/>
      <c r="M37" s="26"/>
      <c r="N37" s="26"/>
      <c r="O37" s="27"/>
      <c r="P37" s="19"/>
      <c r="Q37" s="19">
        <v>2</v>
      </c>
      <c r="R37" s="19"/>
      <c r="S37" s="19">
        <v>15</v>
      </c>
      <c r="T37" s="19" t="s">
        <v>76</v>
      </c>
      <c r="U37" s="19"/>
      <c r="V37" s="19"/>
      <c r="W37" s="26"/>
      <c r="X37" s="19"/>
      <c r="Y37" s="19"/>
      <c r="Z37" s="19"/>
      <c r="AA37" s="26"/>
      <c r="AB37" s="19"/>
      <c r="AC37" s="19"/>
      <c r="AD37" s="26"/>
      <c r="AE37" s="19"/>
      <c r="AF37" s="19"/>
      <c r="AG37" s="19"/>
    </row>
    <row r="38" spans="2:43" ht="18.600000000000001" hidden="1" customHeight="1" outlineLevel="1" x14ac:dyDescent="0.2">
      <c r="B38" s="26"/>
      <c r="C38" s="26"/>
      <c r="D38" s="19"/>
      <c r="E38" s="19"/>
      <c r="F38" s="19"/>
      <c r="G38" s="28" t="s">
        <v>601</v>
      </c>
      <c r="H38" s="27" t="s">
        <v>554</v>
      </c>
      <c r="I38" s="19"/>
      <c r="J38" s="19"/>
      <c r="K38" s="19">
        <v>-0.75</v>
      </c>
      <c r="L38" s="19">
        <v>-0.7</v>
      </c>
      <c r="M38" s="19"/>
      <c r="N38" s="19"/>
      <c r="O38" s="17"/>
      <c r="P38" s="19"/>
      <c r="Q38" s="19"/>
      <c r="R38" s="19"/>
      <c r="S38" s="19"/>
      <c r="T38" s="19"/>
      <c r="U38" s="19"/>
      <c r="V38" s="19"/>
      <c r="W38" s="26"/>
      <c r="X38" s="26"/>
      <c r="Y38" s="26"/>
      <c r="Z38" s="26"/>
      <c r="AA38" s="26"/>
      <c r="AB38" s="26"/>
      <c r="AC38" s="26"/>
      <c r="AD38" s="26"/>
      <c r="AE38" s="19"/>
      <c r="AF38" s="19"/>
      <c r="AG38" s="19"/>
    </row>
    <row r="39" spans="2:43" ht="18.600000000000001" hidden="1" customHeight="1" outlineLevel="1" x14ac:dyDescent="0.2">
      <c r="B39" s="26"/>
      <c r="C39" s="26"/>
      <c r="D39" s="19"/>
      <c r="E39" s="19"/>
      <c r="F39" s="19"/>
      <c r="G39" s="28" t="s">
        <v>601</v>
      </c>
      <c r="H39" s="27" t="s">
        <v>554</v>
      </c>
      <c r="I39" s="19"/>
      <c r="J39" s="19"/>
      <c r="K39" s="19">
        <v>-0.75</v>
      </c>
      <c r="L39" s="19">
        <v>-0.7</v>
      </c>
      <c r="M39" s="19"/>
      <c r="N39" s="19"/>
      <c r="O39" s="17"/>
      <c r="P39" s="19"/>
      <c r="Q39" s="19"/>
      <c r="R39" s="19"/>
      <c r="S39" s="19"/>
      <c r="T39" s="19"/>
      <c r="U39" s="19"/>
      <c r="V39" s="19"/>
      <c r="W39" s="26"/>
      <c r="X39" s="26"/>
      <c r="Y39" s="26"/>
      <c r="Z39" s="26"/>
      <c r="AA39" s="26"/>
      <c r="AB39" s="26"/>
      <c r="AC39" s="26"/>
      <c r="AD39" s="26"/>
      <c r="AE39" s="19"/>
      <c r="AF39" s="19"/>
      <c r="AG39" s="19"/>
    </row>
    <row r="40" spans="2:43" ht="18.600000000000001" customHeight="1" collapsed="1" x14ac:dyDescent="0.2">
      <c r="B40" s="19"/>
      <c r="C40" s="19"/>
      <c r="D40" s="19"/>
      <c r="E40" s="19"/>
      <c r="F40" s="19"/>
      <c r="G40" s="20" t="s">
        <v>216</v>
      </c>
      <c r="H40" s="17" t="s">
        <v>557</v>
      </c>
      <c r="I40" s="19" t="s">
        <v>558</v>
      </c>
      <c r="J40" s="19"/>
      <c r="K40" s="26"/>
      <c r="L40" s="26"/>
      <c r="M40" s="26"/>
      <c r="N40" s="26"/>
      <c r="O40" s="27"/>
      <c r="P40" s="19"/>
      <c r="Q40" s="19">
        <v>2</v>
      </c>
      <c r="R40" s="19"/>
      <c r="S40" s="19">
        <v>5</v>
      </c>
      <c r="T40" s="19" t="s">
        <v>76</v>
      </c>
      <c r="U40" s="19"/>
      <c r="V40" s="19"/>
      <c r="W40" s="26"/>
      <c r="X40" s="19"/>
      <c r="Y40" s="19"/>
      <c r="Z40" s="19"/>
      <c r="AA40" s="26"/>
      <c r="AB40" s="19"/>
      <c r="AC40" s="19"/>
      <c r="AD40" s="26"/>
      <c r="AE40" s="19"/>
      <c r="AF40" s="19"/>
      <c r="AG40" s="19"/>
    </row>
    <row r="41" spans="2:43" ht="18.600000000000001" hidden="1" customHeight="1" outlineLevel="1" x14ac:dyDescent="0.2">
      <c r="B41" s="26"/>
      <c r="C41" s="26"/>
      <c r="D41" s="19"/>
      <c r="E41" s="19"/>
      <c r="F41" s="19"/>
      <c r="G41" s="28" t="s">
        <v>601</v>
      </c>
      <c r="H41" s="27" t="s">
        <v>557</v>
      </c>
      <c r="I41" s="19"/>
      <c r="J41" s="19"/>
      <c r="K41" s="19">
        <v>-0.75</v>
      </c>
      <c r="L41" s="19">
        <v>-0.7</v>
      </c>
      <c r="M41" s="19"/>
      <c r="N41" s="19"/>
      <c r="O41" s="17"/>
      <c r="P41" s="19"/>
      <c r="Q41" s="19">
        <v>2</v>
      </c>
      <c r="R41" s="19"/>
      <c r="S41" s="19">
        <v>5</v>
      </c>
      <c r="T41" s="19" t="s">
        <v>76</v>
      </c>
      <c r="U41" s="19"/>
      <c r="V41" s="19"/>
      <c r="W41" s="26"/>
      <c r="X41" s="26"/>
      <c r="Y41" s="26"/>
      <c r="Z41" s="26"/>
      <c r="AA41" s="26"/>
      <c r="AB41" s="26"/>
      <c r="AC41" s="26"/>
      <c r="AD41" s="26"/>
      <c r="AE41" s="19"/>
      <c r="AF41" s="19"/>
      <c r="AG41" s="19"/>
    </row>
    <row r="42" spans="2:43" ht="18.600000000000001" customHeight="1" collapsed="1" x14ac:dyDescent="0.2">
      <c r="B42" s="19"/>
      <c r="C42" s="19"/>
      <c r="D42" s="19"/>
      <c r="E42" s="19"/>
      <c r="F42" s="19"/>
      <c r="G42" s="20" t="s">
        <v>216</v>
      </c>
      <c r="H42" s="17" t="s">
        <v>559</v>
      </c>
      <c r="I42" s="19" t="s">
        <v>560</v>
      </c>
      <c r="J42" s="19"/>
      <c r="K42" s="26"/>
      <c r="L42" s="26"/>
      <c r="M42" s="26"/>
      <c r="N42" s="26"/>
      <c r="O42" s="27"/>
      <c r="P42" s="19"/>
      <c r="Q42" s="19">
        <v>2</v>
      </c>
      <c r="R42" s="19"/>
      <c r="S42" s="19">
        <v>6</v>
      </c>
      <c r="T42" s="19" t="s">
        <v>76</v>
      </c>
      <c r="U42" s="19"/>
      <c r="V42" s="19"/>
      <c r="W42" s="26"/>
      <c r="X42" s="19"/>
      <c r="Y42" s="19"/>
      <c r="Z42" s="19"/>
      <c r="AA42" s="26"/>
      <c r="AB42" s="19"/>
      <c r="AC42" s="19"/>
      <c r="AD42" s="26"/>
      <c r="AE42" s="19"/>
      <c r="AF42" s="19"/>
      <c r="AG42" s="19"/>
    </row>
    <row r="43" spans="2:43" ht="18.600000000000001" hidden="1" customHeight="1" outlineLevel="1" x14ac:dyDescent="0.2">
      <c r="B43" s="26"/>
      <c r="C43" s="26"/>
      <c r="D43" s="19"/>
      <c r="E43" s="19"/>
      <c r="F43" s="19"/>
      <c r="G43" s="28" t="s">
        <v>601</v>
      </c>
      <c r="H43" s="27" t="s">
        <v>559</v>
      </c>
      <c r="I43" s="19"/>
      <c r="J43" s="19"/>
      <c r="K43" s="19">
        <v>4900</v>
      </c>
      <c r="L43" s="19">
        <v>5100</v>
      </c>
      <c r="M43" s="19"/>
      <c r="N43" s="19"/>
      <c r="O43" s="17"/>
      <c r="P43" s="19"/>
      <c r="Q43" s="19">
        <v>2</v>
      </c>
      <c r="R43" s="19"/>
      <c r="S43" s="19">
        <v>6</v>
      </c>
      <c r="T43" s="19" t="s">
        <v>76</v>
      </c>
      <c r="U43" s="19"/>
      <c r="V43" s="19"/>
      <c r="W43" s="26"/>
      <c r="X43" s="26"/>
      <c r="Y43" s="26"/>
      <c r="Z43" s="26"/>
      <c r="AA43" s="26"/>
      <c r="AB43" s="26"/>
      <c r="AC43" s="26"/>
      <c r="AD43" s="26"/>
      <c r="AE43" s="19"/>
      <c r="AF43" s="19"/>
      <c r="AG43" s="19"/>
    </row>
    <row r="44" spans="2:43" ht="18.600000000000001" hidden="1" customHeight="1" outlineLevel="1" x14ac:dyDescent="0.2">
      <c r="B44" s="26"/>
      <c r="C44" s="26"/>
      <c r="D44" s="19"/>
      <c r="E44" s="19"/>
      <c r="F44" s="19"/>
      <c r="G44" s="28" t="s">
        <v>601</v>
      </c>
      <c r="H44" s="27" t="s">
        <v>559</v>
      </c>
      <c r="I44" s="19"/>
      <c r="J44" s="19"/>
      <c r="K44" s="19">
        <v>4900</v>
      </c>
      <c r="L44" s="19">
        <v>5100</v>
      </c>
      <c r="M44" s="19"/>
      <c r="N44" s="19"/>
      <c r="O44" s="17"/>
      <c r="P44" s="19"/>
      <c r="Q44" s="19">
        <v>2</v>
      </c>
      <c r="R44" s="19"/>
      <c r="S44" s="19">
        <v>6</v>
      </c>
      <c r="T44" s="19" t="s">
        <v>76</v>
      </c>
      <c r="U44" s="19"/>
      <c r="V44" s="19"/>
      <c r="W44" s="26"/>
      <c r="X44" s="26"/>
      <c r="Y44" s="26"/>
      <c r="Z44" s="26"/>
      <c r="AA44" s="26"/>
      <c r="AB44" s="26"/>
      <c r="AC44" s="26"/>
      <c r="AD44" s="26"/>
      <c r="AE44" s="19"/>
      <c r="AF44" s="19"/>
      <c r="AG44" s="19"/>
    </row>
    <row r="45" spans="2:43" ht="18.600000000000001" customHeight="1" collapsed="1" x14ac:dyDescent="0.2">
      <c r="B45" s="19"/>
      <c r="C45" s="19"/>
      <c r="D45" s="19"/>
      <c r="E45" s="19"/>
      <c r="F45" s="19"/>
      <c r="G45" s="20" t="s">
        <v>616</v>
      </c>
      <c r="H45" s="27" t="s">
        <v>561</v>
      </c>
      <c r="I45" s="26" t="s">
        <v>562</v>
      </c>
      <c r="J45" s="26"/>
      <c r="K45" s="26"/>
      <c r="L45" s="26"/>
      <c r="M45" s="26"/>
      <c r="N45" s="26"/>
      <c r="O45" s="27"/>
      <c r="P45" s="26"/>
      <c r="Q45" s="26">
        <v>2</v>
      </c>
      <c r="R45" s="26"/>
      <c r="S45" s="26">
        <v>9</v>
      </c>
      <c r="T45" s="26" t="s">
        <v>76</v>
      </c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19"/>
    </row>
    <row r="46" spans="2:43" ht="18.600000000000001" hidden="1" customHeight="1" outlineLevel="1" x14ac:dyDescent="0.2">
      <c r="B46" s="26"/>
      <c r="C46" s="26"/>
      <c r="D46" s="19"/>
      <c r="E46" s="19"/>
      <c r="F46" s="19"/>
      <c r="G46" s="28" t="s">
        <v>601</v>
      </c>
      <c r="H46" s="27" t="s">
        <v>561</v>
      </c>
      <c r="I46" s="19"/>
      <c r="J46" s="19"/>
      <c r="K46" s="19">
        <v>0</v>
      </c>
      <c r="L46" s="19">
        <v>5</v>
      </c>
      <c r="M46" s="19"/>
      <c r="N46" s="19"/>
      <c r="O46" s="17"/>
      <c r="P46" s="19"/>
      <c r="Q46" s="19"/>
      <c r="R46" s="19"/>
      <c r="S46" s="19">
        <v>9</v>
      </c>
      <c r="T46" s="19" t="s">
        <v>76</v>
      </c>
      <c r="U46" s="19"/>
      <c r="V46" s="19"/>
      <c r="W46" s="26"/>
      <c r="X46" s="26"/>
      <c r="Y46" s="26"/>
      <c r="Z46" s="26"/>
      <c r="AA46" s="26"/>
      <c r="AB46" s="26"/>
      <c r="AC46" s="26"/>
      <c r="AD46" s="26"/>
      <c r="AE46" s="19"/>
      <c r="AF46" s="19"/>
      <c r="AG46" s="19"/>
    </row>
    <row r="47" spans="2:43" ht="18.600000000000001" hidden="1" customHeight="1" outlineLevel="1" x14ac:dyDescent="0.2">
      <c r="B47" s="26"/>
      <c r="C47" s="26"/>
      <c r="D47" s="19"/>
      <c r="E47" s="19"/>
      <c r="F47" s="19"/>
      <c r="G47" s="28" t="s">
        <v>601</v>
      </c>
      <c r="H47" s="27" t="s">
        <v>561</v>
      </c>
      <c r="I47" s="19"/>
      <c r="J47" s="19"/>
      <c r="K47" s="19">
        <v>0</v>
      </c>
      <c r="L47" s="19">
        <v>5</v>
      </c>
      <c r="M47" s="19"/>
      <c r="N47" s="19"/>
      <c r="O47" s="17"/>
      <c r="P47" s="19"/>
      <c r="Q47" s="19"/>
      <c r="R47" s="19"/>
      <c r="S47" s="19">
        <v>9</v>
      </c>
      <c r="T47" s="19" t="s">
        <v>76</v>
      </c>
      <c r="U47" s="19"/>
      <c r="V47" s="19"/>
      <c r="W47" s="26"/>
      <c r="X47" s="26"/>
      <c r="Y47" s="26"/>
      <c r="Z47" s="26"/>
      <c r="AA47" s="26"/>
      <c r="AB47" s="26"/>
      <c r="AC47" s="26"/>
      <c r="AD47" s="26"/>
      <c r="AE47" s="19"/>
      <c r="AF47" s="19"/>
      <c r="AG47" s="19"/>
    </row>
    <row r="48" spans="2:43" ht="18.600000000000001" customHeight="1" collapsed="1" x14ac:dyDescent="0.2">
      <c r="B48" s="19"/>
      <c r="C48" s="19"/>
      <c r="D48" s="19"/>
      <c r="E48" s="19"/>
      <c r="F48" s="19"/>
      <c r="G48" s="20" t="s">
        <v>616</v>
      </c>
      <c r="H48" s="27" t="s">
        <v>563</v>
      </c>
      <c r="I48" s="26" t="s">
        <v>573</v>
      </c>
      <c r="J48" s="26"/>
      <c r="K48" s="26"/>
      <c r="L48" s="26"/>
      <c r="M48" s="26"/>
      <c r="N48" s="26"/>
      <c r="O48" s="27"/>
      <c r="P48" s="26"/>
      <c r="Q48" s="26">
        <v>2</v>
      </c>
      <c r="R48" s="26"/>
      <c r="S48" s="26">
        <v>7</v>
      </c>
      <c r="T48" s="26" t="s">
        <v>76</v>
      </c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19"/>
    </row>
    <row r="49" spans="2:33" ht="18.600000000000001" hidden="1" customHeight="1" outlineLevel="1" x14ac:dyDescent="0.2">
      <c r="B49" s="26"/>
      <c r="C49" s="26"/>
      <c r="D49" s="19"/>
      <c r="E49" s="19"/>
      <c r="F49" s="19"/>
      <c r="G49" s="28" t="s">
        <v>601</v>
      </c>
      <c r="H49" s="27" t="s">
        <v>563</v>
      </c>
      <c r="I49" s="19"/>
      <c r="J49" s="19"/>
      <c r="K49" s="19">
        <v>-1</v>
      </c>
      <c r="L49" s="19">
        <v>5</v>
      </c>
      <c r="M49" s="19"/>
      <c r="N49" s="19"/>
      <c r="O49" s="17"/>
      <c r="P49" s="19"/>
      <c r="Q49" s="19"/>
      <c r="R49" s="19"/>
      <c r="S49" s="19"/>
      <c r="T49" s="19"/>
      <c r="U49" s="19"/>
      <c r="V49" s="19"/>
      <c r="W49" s="26"/>
      <c r="X49" s="26"/>
      <c r="Y49" s="26"/>
      <c r="Z49" s="26"/>
      <c r="AA49" s="26"/>
      <c r="AB49" s="26"/>
      <c r="AC49" s="26"/>
      <c r="AD49" s="26"/>
      <c r="AE49" s="19"/>
      <c r="AF49" s="19"/>
      <c r="AG49" s="19"/>
    </row>
    <row r="50" spans="2:33" ht="18.600000000000001" hidden="1" customHeight="1" outlineLevel="1" x14ac:dyDescent="0.2">
      <c r="B50" s="26"/>
      <c r="C50" s="26"/>
      <c r="D50" s="19"/>
      <c r="E50" s="19"/>
      <c r="F50" s="19"/>
      <c r="G50" s="28" t="s">
        <v>601</v>
      </c>
      <c r="H50" s="27" t="s">
        <v>563</v>
      </c>
      <c r="I50" s="19"/>
      <c r="J50" s="19"/>
      <c r="K50" s="19">
        <v>-1</v>
      </c>
      <c r="L50" s="19">
        <v>5</v>
      </c>
      <c r="M50" s="19"/>
      <c r="N50" s="19"/>
      <c r="O50" s="17"/>
      <c r="P50" s="19"/>
      <c r="Q50" s="19"/>
      <c r="R50" s="19"/>
      <c r="S50" s="19"/>
      <c r="T50" s="19"/>
      <c r="U50" s="19"/>
      <c r="V50" s="19"/>
      <c r="W50" s="26"/>
      <c r="X50" s="26"/>
      <c r="Y50" s="26"/>
      <c r="Z50" s="26"/>
      <c r="AA50" s="26"/>
      <c r="AB50" s="26"/>
      <c r="AC50" s="26"/>
      <c r="AD50" s="26"/>
      <c r="AE50" s="19"/>
      <c r="AF50" s="19"/>
      <c r="AG50" s="19"/>
    </row>
    <row r="51" spans="2:33" ht="18.600000000000001" customHeight="1" collapsed="1" x14ac:dyDescent="0.2">
      <c r="B51" s="19"/>
      <c r="C51" s="19"/>
      <c r="D51" s="19"/>
      <c r="E51" s="19"/>
      <c r="F51" s="19"/>
      <c r="G51" s="20" t="s">
        <v>616</v>
      </c>
      <c r="H51" s="27" t="s">
        <v>564</v>
      </c>
      <c r="I51" s="26" t="s">
        <v>574</v>
      </c>
      <c r="J51" s="26"/>
      <c r="K51" s="26"/>
      <c r="L51" s="26"/>
      <c r="M51" s="26"/>
      <c r="N51" s="26"/>
      <c r="O51" s="27"/>
      <c r="P51" s="26"/>
      <c r="Q51" s="26">
        <v>2</v>
      </c>
      <c r="R51" s="26"/>
      <c r="S51" s="26">
        <v>8</v>
      </c>
      <c r="T51" s="26" t="s">
        <v>76</v>
      </c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19"/>
    </row>
    <row r="52" spans="2:33" ht="18.600000000000001" hidden="1" customHeight="1" outlineLevel="1" x14ac:dyDescent="0.2">
      <c r="B52" s="26"/>
      <c r="C52" s="26"/>
      <c r="D52" s="19"/>
      <c r="E52" s="19"/>
      <c r="F52" s="19"/>
      <c r="G52" s="28" t="s">
        <v>601</v>
      </c>
      <c r="H52" s="27" t="s">
        <v>564</v>
      </c>
      <c r="I52" s="19"/>
      <c r="J52" s="19"/>
      <c r="K52" s="19">
        <v>-1</v>
      </c>
      <c r="L52" s="19">
        <v>5</v>
      </c>
      <c r="M52" s="19"/>
      <c r="N52" s="19"/>
      <c r="O52" s="17"/>
      <c r="P52" s="19"/>
      <c r="Q52" s="19"/>
      <c r="R52" s="19"/>
      <c r="S52" s="19"/>
      <c r="T52" s="19"/>
      <c r="U52" s="19"/>
      <c r="V52" s="19"/>
      <c r="W52" s="26"/>
      <c r="X52" s="26"/>
      <c r="Y52" s="26"/>
      <c r="Z52" s="26"/>
      <c r="AA52" s="26"/>
      <c r="AB52" s="26"/>
      <c r="AC52" s="26"/>
      <c r="AD52" s="26"/>
      <c r="AE52" s="19"/>
      <c r="AF52" s="19"/>
      <c r="AG52" s="19"/>
    </row>
    <row r="53" spans="2:33" ht="18.600000000000001" hidden="1" customHeight="1" outlineLevel="1" x14ac:dyDescent="0.2">
      <c r="B53" s="26"/>
      <c r="C53" s="26"/>
      <c r="D53" s="19"/>
      <c r="E53" s="19"/>
      <c r="F53" s="19"/>
      <c r="G53" s="28" t="s">
        <v>601</v>
      </c>
      <c r="H53" s="27" t="s">
        <v>564</v>
      </c>
      <c r="I53" s="19"/>
      <c r="J53" s="19"/>
      <c r="K53" s="19">
        <v>-1</v>
      </c>
      <c r="L53" s="19">
        <v>5</v>
      </c>
      <c r="M53" s="19"/>
      <c r="N53" s="19"/>
      <c r="O53" s="17"/>
      <c r="P53" s="19"/>
      <c r="Q53" s="19"/>
      <c r="R53" s="19"/>
      <c r="S53" s="19"/>
      <c r="T53" s="19"/>
      <c r="U53" s="19"/>
      <c r="V53" s="19"/>
      <c r="W53" s="26"/>
      <c r="X53" s="26"/>
      <c r="Y53" s="26"/>
      <c r="Z53" s="26"/>
      <c r="AA53" s="26"/>
      <c r="AB53" s="26"/>
      <c r="AC53" s="26"/>
      <c r="AD53" s="26"/>
      <c r="AE53" s="19"/>
      <c r="AF53" s="19"/>
      <c r="AG53" s="19"/>
    </row>
    <row r="54" spans="2:33" ht="18.600000000000001" hidden="1" customHeight="1" outlineLevel="1" x14ac:dyDescent="0.2">
      <c r="B54" s="26"/>
      <c r="C54" s="26"/>
      <c r="D54" s="19"/>
      <c r="E54" s="19"/>
      <c r="F54" s="19"/>
      <c r="G54" s="28" t="s">
        <v>601</v>
      </c>
      <c r="H54" s="27" t="s">
        <v>564</v>
      </c>
      <c r="I54" s="19"/>
      <c r="J54" s="19"/>
      <c r="K54" s="19">
        <v>-1</v>
      </c>
      <c r="L54" s="19">
        <v>5</v>
      </c>
      <c r="M54" s="19"/>
      <c r="N54" s="19"/>
      <c r="O54" s="17"/>
      <c r="P54" s="19"/>
      <c r="Q54" s="19"/>
      <c r="R54" s="19"/>
      <c r="S54" s="19"/>
      <c r="T54" s="19"/>
      <c r="U54" s="19"/>
      <c r="V54" s="19"/>
      <c r="W54" s="26"/>
      <c r="X54" s="26"/>
      <c r="Y54" s="26"/>
      <c r="Z54" s="26"/>
      <c r="AA54" s="26"/>
      <c r="AB54" s="26"/>
      <c r="AC54" s="26"/>
      <c r="AD54" s="26"/>
      <c r="AE54" s="19"/>
      <c r="AF54" s="19"/>
      <c r="AG54" s="19"/>
    </row>
    <row r="55" spans="2:33" ht="18.600000000000001" hidden="1" customHeight="1" outlineLevel="1" x14ac:dyDescent="0.2">
      <c r="B55" s="26"/>
      <c r="C55" s="26"/>
      <c r="D55" s="19"/>
      <c r="E55" s="19"/>
      <c r="F55" s="19"/>
      <c r="G55" s="28" t="s">
        <v>601</v>
      </c>
      <c r="H55" s="27" t="s">
        <v>564</v>
      </c>
      <c r="I55" s="19"/>
      <c r="J55" s="19"/>
      <c r="K55" s="19">
        <v>-1</v>
      </c>
      <c r="L55" s="19">
        <v>5</v>
      </c>
      <c r="M55" s="19"/>
      <c r="N55" s="19"/>
      <c r="O55" s="17"/>
      <c r="P55" s="19"/>
      <c r="Q55" s="19"/>
      <c r="R55" s="19"/>
      <c r="S55" s="19"/>
      <c r="T55" s="19"/>
      <c r="U55" s="19"/>
      <c r="V55" s="19"/>
      <c r="W55" s="26"/>
      <c r="X55" s="26"/>
      <c r="Y55" s="26"/>
      <c r="Z55" s="26"/>
      <c r="AA55" s="26"/>
      <c r="AB55" s="26"/>
      <c r="AC55" s="26"/>
      <c r="AD55" s="26"/>
      <c r="AE55" s="19"/>
      <c r="AF55" s="19"/>
      <c r="AG55" s="19"/>
    </row>
    <row r="56" spans="2:33" ht="18.600000000000001" hidden="1" customHeight="1" outlineLevel="1" x14ac:dyDescent="0.2">
      <c r="B56" s="26"/>
      <c r="C56" s="26"/>
      <c r="D56" s="19"/>
      <c r="E56" s="19"/>
      <c r="F56" s="19"/>
      <c r="G56" s="28" t="s">
        <v>601</v>
      </c>
      <c r="H56" s="27" t="s">
        <v>564</v>
      </c>
      <c r="I56" s="19"/>
      <c r="J56" s="19"/>
      <c r="K56" s="19">
        <v>-1</v>
      </c>
      <c r="L56" s="19">
        <v>5</v>
      </c>
      <c r="M56" s="19"/>
      <c r="N56" s="19"/>
      <c r="O56" s="17"/>
      <c r="P56" s="19"/>
      <c r="Q56" s="19"/>
      <c r="R56" s="19"/>
      <c r="S56" s="19"/>
      <c r="T56" s="19"/>
      <c r="U56" s="19"/>
      <c r="V56" s="19"/>
      <c r="W56" s="26"/>
      <c r="X56" s="26"/>
      <c r="Y56" s="26"/>
      <c r="Z56" s="26"/>
      <c r="AA56" s="26"/>
      <c r="AB56" s="26"/>
      <c r="AC56" s="26"/>
      <c r="AD56" s="26"/>
      <c r="AE56" s="19"/>
      <c r="AF56" s="19"/>
      <c r="AG56" s="19"/>
    </row>
    <row r="57" spans="2:33" ht="18.600000000000001" hidden="1" customHeight="1" outlineLevel="1" x14ac:dyDescent="0.2">
      <c r="B57" s="26"/>
      <c r="C57" s="26"/>
      <c r="D57" s="19"/>
      <c r="E57" s="19"/>
      <c r="F57" s="19"/>
      <c r="G57" s="28" t="s">
        <v>601</v>
      </c>
      <c r="H57" s="27" t="s">
        <v>564</v>
      </c>
      <c r="I57" s="19"/>
      <c r="J57" s="19"/>
      <c r="K57" s="19">
        <v>-1</v>
      </c>
      <c r="L57" s="19">
        <v>5</v>
      </c>
      <c r="M57" s="19"/>
      <c r="N57" s="19"/>
      <c r="O57" s="17"/>
      <c r="P57" s="19"/>
      <c r="Q57" s="19"/>
      <c r="R57" s="19"/>
      <c r="S57" s="19"/>
      <c r="T57" s="19"/>
      <c r="U57" s="19"/>
      <c r="V57" s="19"/>
      <c r="W57" s="26"/>
      <c r="X57" s="26"/>
      <c r="Y57" s="26"/>
      <c r="Z57" s="26"/>
      <c r="AA57" s="26"/>
      <c r="AB57" s="26"/>
      <c r="AC57" s="26"/>
      <c r="AD57" s="26"/>
      <c r="AE57" s="19"/>
      <c r="AF57" s="19"/>
      <c r="AG57" s="19"/>
    </row>
    <row r="58" spans="2:33" ht="18.600000000000001" hidden="1" customHeight="1" outlineLevel="1" x14ac:dyDescent="0.2">
      <c r="B58" s="26"/>
      <c r="C58" s="26"/>
      <c r="D58" s="19"/>
      <c r="E58" s="19"/>
      <c r="F58" s="19"/>
      <c r="G58" s="28" t="s">
        <v>601</v>
      </c>
      <c r="H58" s="27" t="s">
        <v>564</v>
      </c>
      <c r="I58" s="19"/>
      <c r="J58" s="19"/>
      <c r="K58" s="19">
        <v>-1</v>
      </c>
      <c r="L58" s="19">
        <v>5</v>
      </c>
      <c r="M58" s="19"/>
      <c r="N58" s="19"/>
      <c r="O58" s="17"/>
      <c r="P58" s="19"/>
      <c r="Q58" s="19"/>
      <c r="R58" s="19"/>
      <c r="S58" s="19"/>
      <c r="T58" s="19"/>
      <c r="U58" s="19"/>
      <c r="V58" s="19"/>
      <c r="W58" s="26"/>
      <c r="X58" s="26"/>
      <c r="Y58" s="26"/>
      <c r="Z58" s="26"/>
      <c r="AA58" s="26"/>
      <c r="AB58" s="26"/>
      <c r="AC58" s="26"/>
      <c r="AD58" s="26"/>
      <c r="AE58" s="19"/>
      <c r="AF58" s="19"/>
      <c r="AG58" s="19"/>
    </row>
    <row r="59" spans="2:33" ht="18.600000000000001" hidden="1" customHeight="1" outlineLevel="1" x14ac:dyDescent="0.2">
      <c r="B59" s="26"/>
      <c r="C59" s="26"/>
      <c r="D59" s="19"/>
      <c r="E59" s="19"/>
      <c r="F59" s="19"/>
      <c r="G59" s="28" t="s">
        <v>601</v>
      </c>
      <c r="H59" s="27" t="s">
        <v>564</v>
      </c>
      <c r="I59" s="19"/>
      <c r="J59" s="19"/>
      <c r="K59" s="19">
        <v>-1</v>
      </c>
      <c r="L59" s="19">
        <v>5</v>
      </c>
      <c r="M59" s="19"/>
      <c r="N59" s="19"/>
      <c r="O59" s="17"/>
      <c r="P59" s="19"/>
      <c r="Q59" s="19"/>
      <c r="R59" s="19"/>
      <c r="S59" s="19"/>
      <c r="T59" s="19"/>
      <c r="U59" s="19"/>
      <c r="V59" s="19"/>
      <c r="W59" s="26"/>
      <c r="X59" s="26"/>
      <c r="Y59" s="26"/>
      <c r="Z59" s="26"/>
      <c r="AA59" s="26"/>
      <c r="AB59" s="26"/>
      <c r="AC59" s="26"/>
      <c r="AD59" s="26"/>
      <c r="AE59" s="19"/>
      <c r="AF59" s="19"/>
      <c r="AG59" s="19"/>
    </row>
    <row r="60" spans="2:33" ht="18.600000000000001" customHeight="1" collapsed="1" x14ac:dyDescent="0.2">
      <c r="B60" s="19"/>
      <c r="C60" s="19"/>
      <c r="D60" s="19"/>
      <c r="E60" s="19"/>
      <c r="F60" s="19"/>
      <c r="G60" s="20" t="s">
        <v>616</v>
      </c>
      <c r="H60" s="27" t="s">
        <v>565</v>
      </c>
      <c r="I60" s="26" t="s">
        <v>566</v>
      </c>
      <c r="J60" s="26"/>
      <c r="K60" s="26"/>
      <c r="L60" s="26"/>
      <c r="M60" s="26"/>
      <c r="N60" s="26"/>
      <c r="O60" s="27"/>
      <c r="P60" s="26"/>
      <c r="Q60" s="26">
        <v>2</v>
      </c>
      <c r="R60" s="26"/>
      <c r="S60" s="26">
        <v>11</v>
      </c>
      <c r="T60" s="26" t="s">
        <v>76</v>
      </c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19"/>
    </row>
    <row r="61" spans="2:33" ht="18.600000000000001" hidden="1" customHeight="1" outlineLevel="1" x14ac:dyDescent="0.2">
      <c r="B61" s="26"/>
      <c r="C61" s="26"/>
      <c r="D61" s="19"/>
      <c r="E61" s="19"/>
      <c r="F61" s="19"/>
      <c r="G61" s="28" t="s">
        <v>601</v>
      </c>
      <c r="H61" s="27" t="s">
        <v>565</v>
      </c>
      <c r="I61" s="19"/>
      <c r="J61" s="19"/>
      <c r="K61" s="19">
        <v>-1</v>
      </c>
      <c r="L61" s="19">
        <v>1</v>
      </c>
      <c r="M61" s="19"/>
      <c r="N61" s="19"/>
      <c r="O61" s="17"/>
      <c r="P61" s="19"/>
      <c r="Q61" s="19"/>
      <c r="R61" s="19"/>
      <c r="S61" s="19"/>
      <c r="T61" s="19"/>
      <c r="U61" s="19"/>
      <c r="V61" s="19"/>
      <c r="W61" s="26"/>
      <c r="X61" s="26"/>
      <c r="Y61" s="26"/>
      <c r="Z61" s="26"/>
      <c r="AA61" s="26"/>
      <c r="AB61" s="26"/>
      <c r="AC61" s="26"/>
      <c r="AD61" s="26"/>
      <c r="AE61" s="19"/>
      <c r="AF61" s="19"/>
      <c r="AG61" s="19"/>
    </row>
    <row r="62" spans="2:33" ht="18.600000000000001" hidden="1" customHeight="1" outlineLevel="1" x14ac:dyDescent="0.2">
      <c r="B62" s="26"/>
      <c r="C62" s="26"/>
      <c r="D62" s="19"/>
      <c r="E62" s="19"/>
      <c r="F62" s="19"/>
      <c r="G62" s="28" t="s">
        <v>601</v>
      </c>
      <c r="H62" s="27" t="s">
        <v>565</v>
      </c>
      <c r="I62" s="19"/>
      <c r="J62" s="19"/>
      <c r="K62" s="19">
        <v>-1</v>
      </c>
      <c r="L62" s="19">
        <v>1</v>
      </c>
      <c r="M62" s="19"/>
      <c r="N62" s="19"/>
      <c r="O62" s="17"/>
      <c r="P62" s="19"/>
      <c r="Q62" s="19"/>
      <c r="R62" s="19"/>
      <c r="S62" s="19"/>
      <c r="T62" s="19"/>
      <c r="U62" s="19"/>
      <c r="V62" s="19"/>
      <c r="W62" s="26"/>
      <c r="X62" s="26"/>
      <c r="Y62" s="26"/>
      <c r="Z62" s="26"/>
      <c r="AA62" s="26"/>
      <c r="AB62" s="26"/>
      <c r="AC62" s="26"/>
      <c r="AD62" s="26"/>
      <c r="AE62" s="19"/>
      <c r="AF62" s="19"/>
      <c r="AG62" s="19"/>
    </row>
    <row r="63" spans="2:33" ht="18.600000000000001" hidden="1" customHeight="1" outlineLevel="1" x14ac:dyDescent="0.2">
      <c r="B63" s="26"/>
      <c r="C63" s="26"/>
      <c r="D63" s="19"/>
      <c r="E63" s="19"/>
      <c r="F63" s="19"/>
      <c r="G63" s="28" t="s">
        <v>601</v>
      </c>
      <c r="H63" s="27" t="s">
        <v>565</v>
      </c>
      <c r="I63" s="19"/>
      <c r="J63" s="19"/>
      <c r="K63" s="19">
        <v>-1</v>
      </c>
      <c r="L63" s="19">
        <v>1</v>
      </c>
      <c r="M63" s="19"/>
      <c r="N63" s="19"/>
      <c r="O63" s="17"/>
      <c r="P63" s="19"/>
      <c r="Q63" s="19"/>
      <c r="R63" s="19"/>
      <c r="S63" s="19"/>
      <c r="T63" s="19"/>
      <c r="U63" s="19"/>
      <c r="V63" s="19"/>
      <c r="W63" s="26"/>
      <c r="X63" s="26"/>
      <c r="Y63" s="26"/>
      <c r="Z63" s="26"/>
      <c r="AA63" s="26"/>
      <c r="AB63" s="26"/>
      <c r="AC63" s="26"/>
      <c r="AD63" s="26"/>
      <c r="AE63" s="19"/>
      <c r="AF63" s="19"/>
      <c r="AG63" s="19"/>
    </row>
    <row r="64" spans="2:33" ht="18.600000000000001" hidden="1" customHeight="1" outlineLevel="1" x14ac:dyDescent="0.2">
      <c r="B64" s="26"/>
      <c r="C64" s="26"/>
      <c r="D64" s="19"/>
      <c r="E64" s="19"/>
      <c r="F64" s="19"/>
      <c r="G64" s="28" t="s">
        <v>601</v>
      </c>
      <c r="H64" s="27" t="s">
        <v>565</v>
      </c>
      <c r="I64" s="19"/>
      <c r="J64" s="19"/>
      <c r="K64" s="19">
        <v>-1</v>
      </c>
      <c r="L64" s="19">
        <v>1</v>
      </c>
      <c r="M64" s="19"/>
      <c r="N64" s="19"/>
      <c r="O64" s="17"/>
      <c r="P64" s="19"/>
      <c r="Q64" s="19"/>
      <c r="R64" s="19"/>
      <c r="S64" s="19"/>
      <c r="T64" s="19"/>
      <c r="U64" s="19"/>
      <c r="V64" s="19"/>
      <c r="W64" s="26"/>
      <c r="X64" s="26"/>
      <c r="Y64" s="26"/>
      <c r="Z64" s="26"/>
      <c r="AA64" s="26"/>
      <c r="AB64" s="26"/>
      <c r="AC64" s="26"/>
      <c r="AD64" s="26"/>
      <c r="AE64" s="19"/>
      <c r="AF64" s="19"/>
      <c r="AG64" s="19"/>
    </row>
    <row r="65" spans="2:33" ht="18.600000000000001" customHeight="1" collapsed="1" x14ac:dyDescent="0.2">
      <c r="B65" s="19"/>
      <c r="C65" s="19"/>
      <c r="D65" s="19"/>
      <c r="E65" s="19"/>
      <c r="F65" s="19"/>
      <c r="G65" s="20" t="s">
        <v>616</v>
      </c>
      <c r="H65" s="27" t="s">
        <v>567</v>
      </c>
      <c r="I65" s="26" t="s">
        <v>568</v>
      </c>
      <c r="J65" s="26"/>
      <c r="K65" s="26"/>
      <c r="L65" s="26"/>
      <c r="M65" s="26"/>
      <c r="N65" s="26"/>
      <c r="O65" s="27"/>
      <c r="P65" s="26"/>
      <c r="Q65" s="26">
        <v>2</v>
      </c>
      <c r="R65" s="26"/>
      <c r="S65" s="26">
        <v>12</v>
      </c>
      <c r="T65" s="26" t="s">
        <v>76</v>
      </c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19"/>
    </row>
    <row r="66" spans="2:33" ht="18.600000000000001" hidden="1" customHeight="1" outlineLevel="1" x14ac:dyDescent="0.2">
      <c r="B66" s="26"/>
      <c r="C66" s="26"/>
      <c r="D66" s="19"/>
      <c r="E66" s="19"/>
      <c r="F66" s="19"/>
      <c r="G66" s="28" t="s">
        <v>601</v>
      </c>
      <c r="H66" s="27" t="s">
        <v>567</v>
      </c>
      <c r="I66" s="19"/>
      <c r="J66" s="19"/>
      <c r="K66" s="19">
        <v>-1</v>
      </c>
      <c r="L66" s="19">
        <v>1</v>
      </c>
      <c r="M66" s="19"/>
      <c r="N66" s="19"/>
      <c r="O66" s="17"/>
      <c r="P66" s="19"/>
      <c r="Q66" s="19"/>
      <c r="R66" s="19"/>
      <c r="S66" s="19"/>
      <c r="T66" s="19"/>
      <c r="U66" s="19"/>
      <c r="V66" s="19"/>
      <c r="W66" s="26"/>
      <c r="X66" s="26"/>
      <c r="Y66" s="26"/>
      <c r="Z66" s="26"/>
      <c r="AA66" s="26"/>
      <c r="AB66" s="26"/>
      <c r="AC66" s="26"/>
      <c r="AD66" s="26"/>
      <c r="AE66" s="19"/>
      <c r="AF66" s="19"/>
      <c r="AG66" s="19"/>
    </row>
    <row r="67" spans="2:33" ht="18.600000000000001" hidden="1" customHeight="1" outlineLevel="1" x14ac:dyDescent="0.2">
      <c r="B67" s="26"/>
      <c r="C67" s="26"/>
      <c r="D67" s="19"/>
      <c r="E67" s="19"/>
      <c r="F67" s="19"/>
      <c r="G67" s="28" t="s">
        <v>601</v>
      </c>
      <c r="H67" s="27" t="s">
        <v>567</v>
      </c>
      <c r="I67" s="19"/>
      <c r="J67" s="19"/>
      <c r="K67" s="19">
        <v>-1</v>
      </c>
      <c r="L67" s="19">
        <v>1</v>
      </c>
      <c r="M67" s="19"/>
      <c r="N67" s="19"/>
      <c r="O67" s="17"/>
      <c r="P67" s="19"/>
      <c r="Q67" s="19"/>
      <c r="R67" s="19"/>
      <c r="S67" s="19"/>
      <c r="T67" s="19"/>
      <c r="U67" s="19"/>
      <c r="V67" s="19"/>
      <c r="W67" s="26"/>
      <c r="X67" s="26"/>
      <c r="Y67" s="26"/>
      <c r="Z67" s="26"/>
      <c r="AA67" s="26"/>
      <c r="AB67" s="26"/>
      <c r="AC67" s="26"/>
      <c r="AD67" s="26"/>
      <c r="AE67" s="19"/>
      <c r="AF67" s="19"/>
      <c r="AG67" s="19"/>
    </row>
    <row r="68" spans="2:33" ht="18.600000000000001" customHeight="1" collapsed="1" x14ac:dyDescent="0.2">
      <c r="B68" s="19"/>
      <c r="C68" s="19"/>
      <c r="D68" s="19"/>
      <c r="E68" s="19"/>
      <c r="F68" s="19"/>
      <c r="G68" s="20" t="s">
        <v>216</v>
      </c>
      <c r="H68" s="40" t="s">
        <v>571</v>
      </c>
      <c r="I68" s="19" t="s">
        <v>572</v>
      </c>
      <c r="J68" s="19"/>
      <c r="K68" s="26"/>
      <c r="L68" s="26"/>
      <c r="M68" s="26"/>
      <c r="N68" s="26"/>
      <c r="O68" s="27"/>
      <c r="P68" s="19"/>
      <c r="Q68" s="19">
        <v>2</v>
      </c>
      <c r="R68" s="19"/>
      <c r="S68" s="19">
        <v>10</v>
      </c>
      <c r="T68" s="19" t="s">
        <v>76</v>
      </c>
      <c r="U68" s="19"/>
      <c r="V68" s="19"/>
      <c r="W68" s="26"/>
      <c r="X68" s="19"/>
      <c r="Y68" s="19"/>
      <c r="Z68" s="19"/>
      <c r="AA68" s="26"/>
      <c r="AB68" s="19"/>
      <c r="AC68" s="19"/>
      <c r="AD68" s="26"/>
      <c r="AE68" s="19"/>
      <c r="AF68" s="19"/>
      <c r="AG68" s="19"/>
    </row>
    <row r="69" spans="2:33" ht="18.600000000000001" hidden="1" customHeight="1" outlineLevel="1" x14ac:dyDescent="0.2">
      <c r="B69" s="26"/>
      <c r="C69" s="26"/>
      <c r="D69" s="19"/>
      <c r="E69" s="19"/>
      <c r="F69" s="19"/>
      <c r="G69" s="28" t="s">
        <v>601</v>
      </c>
      <c r="H69" s="27" t="s">
        <v>571</v>
      </c>
      <c r="I69" s="19"/>
      <c r="J69" s="19"/>
      <c r="K69" s="44">
        <v>-1E-4</v>
      </c>
      <c r="L69" s="44">
        <v>1E-4</v>
      </c>
      <c r="M69" s="19"/>
      <c r="N69" s="19"/>
      <c r="O69" s="17"/>
      <c r="P69" s="19"/>
      <c r="Q69" s="19"/>
      <c r="R69" s="19"/>
      <c r="S69" s="19"/>
      <c r="T69" s="19"/>
      <c r="U69" s="19"/>
      <c r="V69" s="19"/>
      <c r="W69" s="26"/>
      <c r="X69" s="26"/>
      <c r="Y69" s="26"/>
      <c r="Z69" s="26"/>
      <c r="AA69" s="26"/>
      <c r="AB69" s="26"/>
      <c r="AC69" s="26"/>
      <c r="AD69" s="26"/>
      <c r="AE69" s="19"/>
      <c r="AF69" s="19"/>
      <c r="AG69" s="19"/>
    </row>
    <row r="70" spans="2:33" ht="18.600000000000001" hidden="1" customHeight="1" outlineLevel="1" x14ac:dyDescent="0.2">
      <c r="B70" s="26"/>
      <c r="C70" s="26"/>
      <c r="D70" s="19"/>
      <c r="E70" s="19"/>
      <c r="F70" s="19"/>
      <c r="G70" s="28" t="s">
        <v>601</v>
      </c>
      <c r="H70" s="27" t="s">
        <v>571</v>
      </c>
      <c r="I70" s="19"/>
      <c r="J70" s="19"/>
      <c r="K70" s="44">
        <v>-1E-4</v>
      </c>
      <c r="L70" s="44">
        <v>1E-4</v>
      </c>
      <c r="M70" s="19"/>
      <c r="N70" s="19"/>
      <c r="O70" s="17"/>
      <c r="P70" s="19"/>
      <c r="Q70" s="19"/>
      <c r="R70" s="19"/>
      <c r="S70" s="19"/>
      <c r="T70" s="19"/>
      <c r="U70" s="19"/>
      <c r="V70" s="19"/>
      <c r="W70" s="26"/>
      <c r="X70" s="26"/>
      <c r="Y70" s="26"/>
      <c r="Z70" s="26"/>
      <c r="AA70" s="26"/>
      <c r="AB70" s="26"/>
      <c r="AC70" s="26"/>
      <c r="AD70" s="26"/>
      <c r="AE70" s="19"/>
      <c r="AF70" s="19"/>
      <c r="AG70" s="19"/>
    </row>
    <row r="71" spans="2:33" ht="18.600000000000001" hidden="1" customHeight="1" outlineLevel="1" x14ac:dyDescent="0.2">
      <c r="B71" s="26"/>
      <c r="C71" s="26"/>
      <c r="D71" s="19"/>
      <c r="E71" s="19"/>
      <c r="F71" s="19"/>
      <c r="G71" s="28" t="s">
        <v>601</v>
      </c>
      <c r="H71" s="27" t="s">
        <v>571</v>
      </c>
      <c r="I71" s="19"/>
      <c r="J71" s="19"/>
      <c r="K71" s="44">
        <v>-1E-4</v>
      </c>
      <c r="L71" s="44">
        <v>1E-4</v>
      </c>
      <c r="M71" s="19"/>
      <c r="N71" s="19"/>
      <c r="O71" s="17"/>
      <c r="P71" s="19"/>
      <c r="Q71" s="19"/>
      <c r="R71" s="19"/>
      <c r="S71" s="19"/>
      <c r="T71" s="19"/>
      <c r="U71" s="19"/>
      <c r="V71" s="19"/>
      <c r="W71" s="26"/>
      <c r="X71" s="26"/>
      <c r="Y71" s="26"/>
      <c r="Z71" s="26"/>
      <c r="AA71" s="26"/>
      <c r="AB71" s="26"/>
      <c r="AC71" s="26"/>
      <c r="AD71" s="26"/>
      <c r="AE71" s="19"/>
      <c r="AF71" s="19"/>
      <c r="AG71" s="19"/>
    </row>
    <row r="72" spans="2:33" ht="18.600000000000001" hidden="1" customHeight="1" outlineLevel="1" x14ac:dyDescent="0.2">
      <c r="B72" s="26"/>
      <c r="C72" s="26"/>
      <c r="D72" s="19"/>
      <c r="E72" s="19"/>
      <c r="F72" s="19"/>
      <c r="G72" s="28" t="s">
        <v>601</v>
      </c>
      <c r="H72" s="27" t="s">
        <v>571</v>
      </c>
      <c r="I72" s="19"/>
      <c r="J72" s="19"/>
      <c r="K72" s="44">
        <v>-1E-4</v>
      </c>
      <c r="L72" s="44">
        <v>1E-4</v>
      </c>
      <c r="M72" s="19"/>
      <c r="N72" s="19"/>
      <c r="O72" s="17"/>
      <c r="P72" s="19"/>
      <c r="Q72" s="19"/>
      <c r="R72" s="19"/>
      <c r="S72" s="19"/>
      <c r="T72" s="19"/>
      <c r="U72" s="19"/>
      <c r="V72" s="19"/>
      <c r="W72" s="26"/>
      <c r="X72" s="26"/>
      <c r="Y72" s="26"/>
      <c r="Z72" s="26"/>
      <c r="AA72" s="26"/>
      <c r="AB72" s="26"/>
      <c r="AC72" s="26"/>
      <c r="AD72" s="26"/>
      <c r="AE72" s="19"/>
      <c r="AF72" s="19"/>
      <c r="AG72" s="19"/>
    </row>
    <row r="73" spans="2:33" ht="18.600000000000001" hidden="1" customHeight="1" outlineLevel="1" x14ac:dyDescent="0.2">
      <c r="B73" s="26"/>
      <c r="C73" s="26"/>
      <c r="D73" s="19"/>
      <c r="E73" s="19"/>
      <c r="F73" s="19"/>
      <c r="G73" s="28" t="s">
        <v>601</v>
      </c>
      <c r="H73" s="27" t="s">
        <v>571</v>
      </c>
      <c r="I73" s="19"/>
      <c r="J73" s="19"/>
      <c r="K73" s="44">
        <v>-1E-4</v>
      </c>
      <c r="L73" s="44">
        <v>1E-4</v>
      </c>
      <c r="M73" s="19"/>
      <c r="N73" s="19"/>
      <c r="O73" s="17"/>
      <c r="P73" s="19"/>
      <c r="Q73" s="19"/>
      <c r="R73" s="19"/>
      <c r="S73" s="19"/>
      <c r="T73" s="19"/>
      <c r="U73" s="19"/>
      <c r="V73" s="19"/>
      <c r="W73" s="26"/>
      <c r="X73" s="26"/>
      <c r="Y73" s="26"/>
      <c r="Z73" s="26"/>
      <c r="AA73" s="26"/>
      <c r="AB73" s="26"/>
      <c r="AC73" s="26"/>
      <c r="AD73" s="26"/>
      <c r="AE73" s="19"/>
      <c r="AF73" s="19"/>
      <c r="AG73" s="19"/>
    </row>
    <row r="74" spans="2:33" ht="18.600000000000001" hidden="1" customHeight="1" outlineLevel="1" x14ac:dyDescent="0.2">
      <c r="B74" s="26"/>
      <c r="C74" s="26"/>
      <c r="D74" s="19"/>
      <c r="E74" s="19"/>
      <c r="F74" s="19"/>
      <c r="G74" s="28" t="s">
        <v>601</v>
      </c>
      <c r="H74" s="27" t="s">
        <v>571</v>
      </c>
      <c r="I74" s="19"/>
      <c r="J74" s="19"/>
      <c r="K74" s="44">
        <v>-1E-4</v>
      </c>
      <c r="L74" s="44">
        <v>1E-4</v>
      </c>
      <c r="M74" s="19"/>
      <c r="N74" s="19"/>
      <c r="O74" s="17"/>
      <c r="P74" s="19"/>
      <c r="Q74" s="19"/>
      <c r="R74" s="19"/>
      <c r="S74" s="19"/>
      <c r="T74" s="19"/>
      <c r="U74" s="19"/>
      <c r="V74" s="19"/>
      <c r="W74" s="26"/>
      <c r="X74" s="26"/>
      <c r="Y74" s="26"/>
      <c r="Z74" s="26"/>
      <c r="AA74" s="26"/>
      <c r="AB74" s="26"/>
      <c r="AC74" s="26"/>
      <c r="AD74" s="26"/>
      <c r="AE74" s="19"/>
      <c r="AF74" s="19"/>
      <c r="AG74" s="19"/>
    </row>
    <row r="75" spans="2:33" ht="18.600000000000001" hidden="1" customHeight="1" outlineLevel="1" x14ac:dyDescent="0.2">
      <c r="B75" s="26"/>
      <c r="C75" s="26"/>
      <c r="D75" s="19"/>
      <c r="E75" s="19"/>
      <c r="F75" s="19"/>
      <c r="G75" s="28" t="s">
        <v>601</v>
      </c>
      <c r="H75" s="27" t="s">
        <v>571</v>
      </c>
      <c r="I75" s="19"/>
      <c r="J75" s="19"/>
      <c r="K75" s="44">
        <v>-1E-4</v>
      </c>
      <c r="L75" s="44">
        <v>1E-4</v>
      </c>
      <c r="M75" s="19"/>
      <c r="N75" s="19"/>
      <c r="O75" s="17"/>
      <c r="P75" s="19"/>
      <c r="Q75" s="19"/>
      <c r="R75" s="19"/>
      <c r="S75" s="19"/>
      <c r="T75" s="19"/>
      <c r="U75" s="19"/>
      <c r="V75" s="19"/>
      <c r="W75" s="26"/>
      <c r="X75" s="26"/>
      <c r="Y75" s="26"/>
      <c r="Z75" s="26"/>
      <c r="AA75" s="26"/>
      <c r="AB75" s="26"/>
      <c r="AC75" s="26"/>
      <c r="AD75" s="26"/>
      <c r="AE75" s="19"/>
      <c r="AF75" s="19"/>
      <c r="AG75" s="19"/>
    </row>
    <row r="76" spans="2:33" ht="18.600000000000001" hidden="1" customHeight="1" outlineLevel="1" x14ac:dyDescent="0.2">
      <c r="B76" s="26"/>
      <c r="C76" s="26"/>
      <c r="D76" s="19"/>
      <c r="E76" s="19"/>
      <c r="F76" s="19"/>
      <c r="G76" s="28" t="s">
        <v>601</v>
      </c>
      <c r="H76" s="27" t="s">
        <v>571</v>
      </c>
      <c r="I76" s="19"/>
      <c r="J76" s="19"/>
      <c r="K76" s="44">
        <v>-1E-4</v>
      </c>
      <c r="L76" s="44">
        <v>1E-4</v>
      </c>
      <c r="M76" s="19"/>
      <c r="N76" s="19"/>
      <c r="O76" s="17"/>
      <c r="P76" s="19"/>
      <c r="Q76" s="19"/>
      <c r="R76" s="19"/>
      <c r="S76" s="19"/>
      <c r="T76" s="19"/>
      <c r="U76" s="19"/>
      <c r="V76" s="19"/>
      <c r="W76" s="26"/>
      <c r="X76" s="26"/>
      <c r="Y76" s="26"/>
      <c r="Z76" s="26"/>
      <c r="AA76" s="26"/>
      <c r="AB76" s="26"/>
      <c r="AC76" s="26"/>
      <c r="AD76" s="26"/>
      <c r="AE76" s="19"/>
      <c r="AF76" s="19"/>
      <c r="AG76" s="19"/>
    </row>
    <row r="77" spans="2:33" ht="18.600000000000001" hidden="1" customHeight="1" outlineLevel="1" x14ac:dyDescent="0.2">
      <c r="B77" s="26"/>
      <c r="C77" s="26"/>
      <c r="D77" s="19"/>
      <c r="E77" s="19"/>
      <c r="F77" s="19"/>
      <c r="G77" s="28" t="s">
        <v>601</v>
      </c>
      <c r="H77" s="27" t="s">
        <v>571</v>
      </c>
      <c r="I77" s="19"/>
      <c r="J77" s="19"/>
      <c r="K77" s="44">
        <v>-1E-4</v>
      </c>
      <c r="L77" s="44">
        <v>1E-4</v>
      </c>
      <c r="M77" s="19"/>
      <c r="N77" s="19"/>
      <c r="O77" s="17"/>
      <c r="P77" s="19"/>
      <c r="Q77" s="19"/>
      <c r="R77" s="19"/>
      <c r="S77" s="19"/>
      <c r="T77" s="19"/>
      <c r="U77" s="19"/>
      <c r="V77" s="19"/>
      <c r="W77" s="26"/>
      <c r="X77" s="26"/>
      <c r="Y77" s="26"/>
      <c r="Z77" s="26"/>
      <c r="AA77" s="26"/>
      <c r="AB77" s="26"/>
      <c r="AC77" s="26"/>
      <c r="AD77" s="26"/>
      <c r="AE77" s="19"/>
      <c r="AF77" s="19"/>
      <c r="AG77" s="19"/>
    </row>
    <row r="78" spans="2:33" ht="18.600000000000001" hidden="1" customHeight="1" outlineLevel="1" x14ac:dyDescent="0.2">
      <c r="B78" s="26"/>
      <c r="C78" s="26"/>
      <c r="D78" s="19"/>
      <c r="E78" s="19"/>
      <c r="F78" s="19"/>
      <c r="G78" s="28" t="s">
        <v>601</v>
      </c>
      <c r="H78" s="27" t="s">
        <v>571</v>
      </c>
      <c r="I78" s="19"/>
      <c r="J78" s="19"/>
      <c r="K78" s="44">
        <v>-1E-4</v>
      </c>
      <c r="L78" s="44">
        <v>1E-4</v>
      </c>
      <c r="M78" s="19"/>
      <c r="N78" s="19"/>
      <c r="O78" s="17"/>
      <c r="P78" s="19"/>
      <c r="Q78" s="19"/>
      <c r="R78" s="19"/>
      <c r="S78" s="19"/>
      <c r="T78" s="19"/>
      <c r="U78" s="19"/>
      <c r="V78" s="19"/>
      <c r="W78" s="26"/>
      <c r="X78" s="26"/>
      <c r="Y78" s="26"/>
      <c r="Z78" s="26"/>
      <c r="AA78" s="26"/>
      <c r="AB78" s="26"/>
      <c r="AC78" s="26"/>
      <c r="AD78" s="26"/>
      <c r="AE78" s="19"/>
      <c r="AF78" s="19"/>
      <c r="AG78" s="19"/>
    </row>
    <row r="79" spans="2:33" ht="18.600000000000001" hidden="1" customHeight="1" outlineLevel="1" x14ac:dyDescent="0.2">
      <c r="B79" s="26"/>
      <c r="C79" s="26"/>
      <c r="D79" s="19"/>
      <c r="E79" s="19"/>
      <c r="F79" s="19"/>
      <c r="G79" s="28" t="s">
        <v>601</v>
      </c>
      <c r="H79" s="27" t="s">
        <v>571</v>
      </c>
      <c r="I79" s="19"/>
      <c r="J79" s="19"/>
      <c r="K79" s="44">
        <v>-1E-4</v>
      </c>
      <c r="L79" s="44">
        <v>1E-4</v>
      </c>
      <c r="M79" s="19"/>
      <c r="N79" s="19"/>
      <c r="O79" s="17"/>
      <c r="P79" s="19"/>
      <c r="Q79" s="19"/>
      <c r="R79" s="19"/>
      <c r="S79" s="19"/>
      <c r="T79" s="19"/>
      <c r="U79" s="19"/>
      <c r="V79" s="19"/>
      <c r="W79" s="26"/>
      <c r="X79" s="26"/>
      <c r="Y79" s="26"/>
      <c r="Z79" s="26"/>
      <c r="AA79" s="26"/>
      <c r="AB79" s="26"/>
      <c r="AC79" s="26"/>
      <c r="AD79" s="26"/>
      <c r="AE79" s="19"/>
      <c r="AF79" s="19"/>
      <c r="AG79" s="19"/>
    </row>
    <row r="80" spans="2:33" ht="18.600000000000001" hidden="1" customHeight="1" outlineLevel="1" x14ac:dyDescent="0.2">
      <c r="B80" s="26"/>
      <c r="C80" s="26"/>
      <c r="D80" s="19"/>
      <c r="E80" s="19"/>
      <c r="F80" s="19"/>
      <c r="G80" s="41" t="s">
        <v>601</v>
      </c>
      <c r="H80" s="27" t="s">
        <v>571</v>
      </c>
      <c r="I80" s="19"/>
      <c r="J80" s="19"/>
      <c r="K80" s="44">
        <v>-1E-4</v>
      </c>
      <c r="L80" s="44">
        <v>1E-4</v>
      </c>
      <c r="M80" s="19"/>
      <c r="N80" s="19"/>
      <c r="O80" s="17"/>
      <c r="P80" s="19"/>
      <c r="Q80" s="19"/>
      <c r="R80" s="19"/>
      <c r="S80" s="19"/>
      <c r="T80" s="19"/>
      <c r="U80" s="19"/>
      <c r="V80" s="19"/>
      <c r="W80" s="26"/>
      <c r="X80" s="26"/>
      <c r="Y80" s="26"/>
      <c r="Z80" s="26"/>
      <c r="AA80" s="26"/>
      <c r="AB80" s="26"/>
      <c r="AC80" s="26"/>
      <c r="AD80" s="26"/>
      <c r="AE80" s="19"/>
      <c r="AF80" s="19"/>
      <c r="AG80" s="19"/>
    </row>
    <row r="81" spans="2:33" ht="18.600000000000001" hidden="1" customHeight="1" outlineLevel="1" x14ac:dyDescent="0.2">
      <c r="B81" s="26"/>
      <c r="C81" s="26"/>
      <c r="D81" s="19"/>
      <c r="E81" s="19"/>
      <c r="F81" s="19"/>
      <c r="G81" s="28" t="s">
        <v>601</v>
      </c>
      <c r="H81" s="27" t="s">
        <v>571</v>
      </c>
      <c r="I81" s="19"/>
      <c r="J81" s="19"/>
      <c r="K81" s="44">
        <v>-1E-4</v>
      </c>
      <c r="L81" s="44">
        <v>1E-4</v>
      </c>
      <c r="M81" s="19"/>
      <c r="N81" s="19"/>
      <c r="O81" s="17"/>
      <c r="P81" s="19"/>
      <c r="Q81" s="19"/>
      <c r="R81" s="19"/>
      <c r="S81" s="19"/>
      <c r="T81" s="19"/>
      <c r="U81" s="19"/>
      <c r="V81" s="19"/>
      <c r="W81" s="26"/>
      <c r="X81" s="26"/>
      <c r="Y81" s="26"/>
      <c r="Z81" s="26"/>
      <c r="AA81" s="26"/>
      <c r="AB81" s="26"/>
      <c r="AC81" s="26"/>
      <c r="AD81" s="26"/>
      <c r="AE81" s="19"/>
      <c r="AF81" s="19"/>
      <c r="AG81" s="19"/>
    </row>
    <row r="82" spans="2:33" ht="18.600000000000001" hidden="1" customHeight="1" outlineLevel="1" x14ac:dyDescent="0.2">
      <c r="B82" s="26"/>
      <c r="C82" s="26"/>
      <c r="D82" s="19"/>
      <c r="E82" s="19"/>
      <c r="F82" s="19"/>
      <c r="G82" s="28" t="s">
        <v>601</v>
      </c>
      <c r="H82" s="27" t="s">
        <v>571</v>
      </c>
      <c r="I82" s="19"/>
      <c r="J82" s="19"/>
      <c r="K82" s="44">
        <v>-1E-4</v>
      </c>
      <c r="L82" s="44">
        <v>1E-4</v>
      </c>
      <c r="M82" s="19"/>
      <c r="N82" s="19"/>
      <c r="O82" s="17"/>
      <c r="P82" s="19"/>
      <c r="Q82" s="19"/>
      <c r="R82" s="19"/>
      <c r="S82" s="19"/>
      <c r="T82" s="19"/>
      <c r="U82" s="19"/>
      <c r="V82" s="19"/>
      <c r="W82" s="26"/>
      <c r="X82" s="26"/>
      <c r="Y82" s="26"/>
      <c r="Z82" s="26"/>
      <c r="AA82" s="26"/>
      <c r="AB82" s="26"/>
      <c r="AC82" s="26"/>
      <c r="AD82" s="26"/>
      <c r="AE82" s="19"/>
      <c r="AF82" s="19"/>
      <c r="AG82" s="19"/>
    </row>
    <row r="83" spans="2:33" ht="18.600000000000001" hidden="1" customHeight="1" outlineLevel="1" x14ac:dyDescent="0.2">
      <c r="B83" s="26"/>
      <c r="C83" s="26"/>
      <c r="D83" s="19"/>
      <c r="E83" s="19"/>
      <c r="F83" s="19"/>
      <c r="G83" s="28" t="s">
        <v>601</v>
      </c>
      <c r="H83" s="27" t="s">
        <v>571</v>
      </c>
      <c r="I83" s="19"/>
      <c r="J83" s="19"/>
      <c r="K83" s="44">
        <v>-1E-4</v>
      </c>
      <c r="L83" s="44">
        <v>1E-4</v>
      </c>
      <c r="M83" s="19"/>
      <c r="N83" s="19"/>
      <c r="O83" s="17"/>
      <c r="P83" s="19"/>
      <c r="Q83" s="19"/>
      <c r="R83" s="19"/>
      <c r="S83" s="19"/>
      <c r="T83" s="19"/>
      <c r="U83" s="19"/>
      <c r="V83" s="19"/>
      <c r="W83" s="26"/>
      <c r="X83" s="26"/>
      <c r="Y83" s="26"/>
      <c r="Z83" s="26"/>
      <c r="AA83" s="26"/>
      <c r="AB83" s="26"/>
      <c r="AC83" s="26"/>
      <c r="AD83" s="26"/>
      <c r="AE83" s="19"/>
      <c r="AF83" s="19"/>
      <c r="AG83" s="19"/>
    </row>
    <row r="84" spans="2:33" ht="18.600000000000001" hidden="1" customHeight="1" outlineLevel="1" x14ac:dyDescent="0.2">
      <c r="B84" s="26"/>
      <c r="C84" s="26"/>
      <c r="D84" s="19"/>
      <c r="E84" s="19"/>
      <c r="F84" s="19"/>
      <c r="G84" s="28" t="s">
        <v>601</v>
      </c>
      <c r="H84" s="27" t="s">
        <v>571</v>
      </c>
      <c r="I84" s="19"/>
      <c r="J84" s="19"/>
      <c r="K84" s="44">
        <v>-1E-4</v>
      </c>
      <c r="L84" s="44">
        <v>1E-4</v>
      </c>
      <c r="M84" s="19"/>
      <c r="N84" s="19"/>
      <c r="O84" s="17"/>
      <c r="P84" s="19"/>
      <c r="Q84" s="19"/>
      <c r="R84" s="19"/>
      <c r="S84" s="19"/>
      <c r="T84" s="19"/>
      <c r="U84" s="19"/>
      <c r="V84" s="19"/>
      <c r="W84" s="26"/>
      <c r="X84" s="26"/>
      <c r="Y84" s="26"/>
      <c r="Z84" s="26"/>
      <c r="AA84" s="26"/>
      <c r="AB84" s="26"/>
      <c r="AC84" s="26"/>
      <c r="AD84" s="26"/>
      <c r="AE84" s="19"/>
      <c r="AF84" s="19"/>
      <c r="AG84" s="19"/>
    </row>
    <row r="85" spans="2:33" ht="18.600000000000001" hidden="1" customHeight="1" outlineLevel="1" x14ac:dyDescent="0.2">
      <c r="B85" s="26"/>
      <c r="C85" s="26"/>
      <c r="D85" s="19"/>
      <c r="E85" s="19"/>
      <c r="F85" s="19"/>
      <c r="G85" s="28" t="s">
        <v>601</v>
      </c>
      <c r="H85" s="27" t="s">
        <v>571</v>
      </c>
      <c r="I85" s="19"/>
      <c r="J85" s="19"/>
      <c r="K85" s="44">
        <v>-1E-4</v>
      </c>
      <c r="L85" s="44">
        <v>1E-4</v>
      </c>
      <c r="M85" s="19"/>
      <c r="N85" s="19"/>
      <c r="O85" s="17"/>
      <c r="P85" s="19"/>
      <c r="Q85" s="19"/>
      <c r="R85" s="19"/>
      <c r="S85" s="19"/>
      <c r="T85" s="19"/>
      <c r="U85" s="19"/>
      <c r="V85" s="19"/>
      <c r="W85" s="26"/>
      <c r="X85" s="26"/>
      <c r="Y85" s="26"/>
      <c r="Z85" s="26"/>
      <c r="AA85" s="26"/>
      <c r="AB85" s="26"/>
      <c r="AC85" s="26"/>
      <c r="AD85" s="26"/>
      <c r="AE85" s="19"/>
      <c r="AF85" s="19"/>
      <c r="AG85" s="19"/>
    </row>
    <row r="86" spans="2:33" ht="18.600000000000001" hidden="1" customHeight="1" outlineLevel="1" x14ac:dyDescent="0.2">
      <c r="B86" s="26"/>
      <c r="C86" s="26"/>
      <c r="D86" s="19"/>
      <c r="E86" s="19"/>
      <c r="F86" s="19"/>
      <c r="G86" s="28" t="s">
        <v>601</v>
      </c>
      <c r="H86" s="27" t="s">
        <v>571</v>
      </c>
      <c r="I86" s="19"/>
      <c r="J86" s="19"/>
      <c r="K86" s="44">
        <v>-1E-4</v>
      </c>
      <c r="L86" s="44">
        <v>1E-4</v>
      </c>
      <c r="M86" s="19"/>
      <c r="N86" s="19"/>
      <c r="O86" s="17"/>
      <c r="P86" s="19"/>
      <c r="Q86" s="19"/>
      <c r="R86" s="19"/>
      <c r="S86" s="19"/>
      <c r="T86" s="19"/>
      <c r="U86" s="19"/>
      <c r="V86" s="19"/>
      <c r="W86" s="26"/>
      <c r="X86" s="26"/>
      <c r="Y86" s="26"/>
      <c r="Z86" s="26"/>
      <c r="AA86" s="26"/>
      <c r="AB86" s="26"/>
      <c r="AC86" s="26"/>
      <c r="AD86" s="26"/>
      <c r="AE86" s="19"/>
      <c r="AF86" s="19"/>
      <c r="AG86" s="19"/>
    </row>
    <row r="87" spans="2:33" ht="18.600000000000001" customHeight="1" collapsed="1" x14ac:dyDescent="0.2">
      <c r="B87" s="19"/>
      <c r="C87" s="19"/>
      <c r="D87" s="19"/>
      <c r="E87" s="19"/>
      <c r="F87" s="19"/>
      <c r="G87" s="20" t="s">
        <v>216</v>
      </c>
      <c r="H87" s="17" t="s">
        <v>575</v>
      </c>
      <c r="I87" s="19" t="s">
        <v>576</v>
      </c>
      <c r="J87" s="19"/>
      <c r="K87" s="26"/>
      <c r="L87" s="26"/>
      <c r="M87" s="26"/>
      <c r="N87" s="26"/>
      <c r="O87" s="27"/>
      <c r="P87" s="19"/>
      <c r="Q87" s="19">
        <v>2</v>
      </c>
      <c r="R87" s="19"/>
      <c r="S87" s="19">
        <v>14</v>
      </c>
      <c r="T87" s="19" t="s">
        <v>76</v>
      </c>
      <c r="U87" s="19"/>
      <c r="V87" s="19"/>
      <c r="W87" s="26"/>
      <c r="X87" s="19"/>
      <c r="Y87" s="19"/>
      <c r="Z87" s="19"/>
      <c r="AA87" s="26"/>
      <c r="AB87" s="19"/>
      <c r="AC87" s="19"/>
      <c r="AD87" s="26"/>
      <c r="AE87" s="19"/>
      <c r="AF87" s="19"/>
      <c r="AG87" s="19"/>
    </row>
    <row r="88" spans="2:33" ht="18.600000000000001" hidden="1" customHeight="1" outlineLevel="1" x14ac:dyDescent="0.2">
      <c r="B88" s="26"/>
      <c r="C88" s="26"/>
      <c r="D88" s="19"/>
      <c r="E88" s="19"/>
      <c r="F88" s="19"/>
      <c r="G88" s="28" t="s">
        <v>601</v>
      </c>
      <c r="H88" s="27" t="s">
        <v>575</v>
      </c>
      <c r="I88" s="19"/>
      <c r="J88" s="19"/>
      <c r="K88" s="19">
        <v>3.0000000000000001E-5</v>
      </c>
      <c r="L88" s="19">
        <v>5.0000000000000002E-5</v>
      </c>
      <c r="M88" s="19"/>
      <c r="N88" s="19"/>
      <c r="O88" s="17"/>
      <c r="P88" s="19"/>
      <c r="Q88" s="19"/>
      <c r="R88" s="19"/>
      <c r="S88" s="19"/>
      <c r="T88" s="19"/>
      <c r="U88" s="19"/>
      <c r="V88" s="19"/>
      <c r="W88" s="26"/>
      <c r="X88" s="26"/>
      <c r="Y88" s="26"/>
      <c r="Z88" s="26"/>
      <c r="AA88" s="26"/>
      <c r="AB88" s="26"/>
      <c r="AC88" s="26"/>
      <c r="AD88" s="26"/>
      <c r="AE88" s="19"/>
      <c r="AF88" s="19"/>
      <c r="AG88" s="19"/>
    </row>
    <row r="89" spans="2:33" ht="18.600000000000001" hidden="1" customHeight="1" outlineLevel="1" x14ac:dyDescent="0.2">
      <c r="B89" s="26"/>
      <c r="C89" s="26"/>
      <c r="D89" s="19"/>
      <c r="E89" s="19"/>
      <c r="F89" s="19"/>
      <c r="G89" s="28" t="s">
        <v>601</v>
      </c>
      <c r="H89" s="27" t="s">
        <v>575</v>
      </c>
      <c r="I89" s="19"/>
      <c r="J89" s="19"/>
      <c r="K89" s="19">
        <v>9.0000000000000002E-6</v>
      </c>
      <c r="L89" s="19">
        <v>1.2999999999999999E-5</v>
      </c>
      <c r="M89" s="19"/>
      <c r="N89" s="19"/>
      <c r="O89" s="17"/>
      <c r="P89" s="19"/>
      <c r="Q89" s="19"/>
      <c r="R89" s="19"/>
      <c r="S89" s="19"/>
      <c r="T89" s="19"/>
      <c r="U89" s="19"/>
      <c r="V89" s="19"/>
      <c r="W89" s="26"/>
      <c r="X89" s="26"/>
      <c r="Y89" s="26"/>
      <c r="Z89" s="26"/>
      <c r="AA89" s="26"/>
      <c r="AB89" s="26"/>
      <c r="AC89" s="26"/>
      <c r="AD89" s="26"/>
      <c r="AE89" s="19"/>
      <c r="AF89" s="19"/>
      <c r="AG89" s="19"/>
    </row>
    <row r="90" spans="2:33" ht="18.600000000000001" hidden="1" customHeight="1" outlineLevel="1" x14ac:dyDescent="0.2">
      <c r="B90" s="26"/>
      <c r="C90" s="26"/>
      <c r="D90" s="19"/>
      <c r="E90" s="19"/>
      <c r="F90" s="19"/>
      <c r="G90" s="28" t="s">
        <v>601</v>
      </c>
      <c r="H90" s="27" t="s">
        <v>575</v>
      </c>
      <c r="I90" s="19"/>
      <c r="J90" s="19"/>
      <c r="K90" s="19">
        <v>9.0000000000000002E-6</v>
      </c>
      <c r="L90" s="19">
        <v>1.2999999999999999E-5</v>
      </c>
      <c r="M90" s="19"/>
      <c r="N90" s="19"/>
      <c r="O90" s="17"/>
      <c r="P90" s="19"/>
      <c r="Q90" s="19"/>
      <c r="R90" s="19"/>
      <c r="S90" s="19"/>
      <c r="T90" s="19"/>
      <c r="U90" s="19"/>
      <c r="V90" s="19"/>
      <c r="W90" s="26"/>
      <c r="X90" s="26"/>
      <c r="Y90" s="26"/>
      <c r="Z90" s="26"/>
      <c r="AA90" s="26"/>
      <c r="AB90" s="26"/>
      <c r="AC90" s="26"/>
      <c r="AD90" s="26"/>
      <c r="AE90" s="19"/>
      <c r="AF90" s="19"/>
      <c r="AG90" s="19"/>
    </row>
    <row r="91" spans="2:33" ht="18.600000000000001" hidden="1" customHeight="1" outlineLevel="1" x14ac:dyDescent="0.2">
      <c r="B91" s="26"/>
      <c r="C91" s="26"/>
      <c r="D91" s="19"/>
      <c r="E91" s="19"/>
      <c r="F91" s="19"/>
      <c r="G91" s="28" t="s">
        <v>601</v>
      </c>
      <c r="H91" s="27" t="s">
        <v>575</v>
      </c>
      <c r="I91" s="19"/>
      <c r="J91" s="19"/>
      <c r="K91" s="19">
        <v>9.0000000000000002E-6</v>
      </c>
      <c r="L91" s="19">
        <v>1.2999999999999999E-5</v>
      </c>
      <c r="M91" s="19"/>
      <c r="N91" s="19"/>
      <c r="O91" s="17"/>
      <c r="P91" s="19"/>
      <c r="Q91" s="19"/>
      <c r="R91" s="19"/>
      <c r="S91" s="19"/>
      <c r="T91" s="19"/>
      <c r="U91" s="19"/>
      <c r="V91" s="19"/>
      <c r="W91" s="26"/>
      <c r="X91" s="26"/>
      <c r="Y91" s="26"/>
      <c r="Z91" s="26"/>
      <c r="AA91" s="26"/>
      <c r="AB91" s="26"/>
      <c r="AC91" s="26"/>
      <c r="AD91" s="26"/>
      <c r="AE91" s="19"/>
      <c r="AF91" s="19"/>
      <c r="AG91" s="19"/>
    </row>
    <row r="92" spans="2:33" ht="18.600000000000001" hidden="1" customHeight="1" outlineLevel="1" x14ac:dyDescent="0.2">
      <c r="B92" s="26"/>
      <c r="C92" s="26"/>
      <c r="D92" s="19"/>
      <c r="E92" s="19"/>
      <c r="F92" s="19"/>
      <c r="G92" s="28" t="s">
        <v>601</v>
      </c>
      <c r="H92" s="27" t="s">
        <v>575</v>
      </c>
      <c r="I92" s="19"/>
      <c r="J92" s="19"/>
      <c r="K92" s="19">
        <v>1.9000000000000001E-5</v>
      </c>
      <c r="L92" s="19">
        <v>2.5000000000000001E-5</v>
      </c>
      <c r="M92" s="19"/>
      <c r="N92" s="19"/>
      <c r="O92" s="17"/>
      <c r="P92" s="19"/>
      <c r="Q92" s="19"/>
      <c r="R92" s="19"/>
      <c r="S92" s="19"/>
      <c r="T92" s="19"/>
      <c r="U92" s="19"/>
      <c r="V92" s="19"/>
      <c r="W92" s="26"/>
      <c r="X92" s="26"/>
      <c r="Y92" s="26"/>
      <c r="Z92" s="26"/>
      <c r="AA92" s="26"/>
      <c r="AB92" s="26"/>
      <c r="AC92" s="26"/>
      <c r="AD92" s="26"/>
      <c r="AE92" s="19"/>
      <c r="AF92" s="19"/>
      <c r="AG92" s="19"/>
    </row>
    <row r="93" spans="2:33" ht="18.600000000000001" hidden="1" customHeight="1" outlineLevel="1" x14ac:dyDescent="0.2">
      <c r="B93" s="26"/>
      <c r="C93" s="26"/>
      <c r="D93" s="19"/>
      <c r="E93" s="19"/>
      <c r="F93" s="19"/>
      <c r="G93" s="28" t="s">
        <v>601</v>
      </c>
      <c r="H93" s="27" t="s">
        <v>575</v>
      </c>
      <c r="I93" s="19"/>
      <c r="J93" s="19"/>
      <c r="K93" s="19">
        <v>1.2E-5</v>
      </c>
      <c r="L93" s="19">
        <v>1.8E-5</v>
      </c>
      <c r="M93" s="19"/>
      <c r="N93" s="19"/>
      <c r="O93" s="17"/>
      <c r="P93" s="19"/>
      <c r="Q93" s="19"/>
      <c r="R93" s="19"/>
      <c r="S93" s="19"/>
      <c r="T93" s="19"/>
      <c r="U93" s="19"/>
      <c r="V93" s="19"/>
      <c r="W93" s="26"/>
      <c r="X93" s="26"/>
      <c r="Y93" s="26"/>
      <c r="Z93" s="26"/>
      <c r="AA93" s="26"/>
      <c r="AB93" s="26"/>
      <c r="AC93" s="26"/>
      <c r="AD93" s="26"/>
      <c r="AE93" s="19"/>
      <c r="AF93" s="19"/>
      <c r="AG93" s="19"/>
    </row>
    <row r="94" spans="2:33" ht="18.600000000000001" hidden="1" customHeight="1" outlineLevel="1" x14ac:dyDescent="0.2">
      <c r="B94" s="26"/>
      <c r="C94" s="26"/>
      <c r="D94" s="19"/>
      <c r="E94" s="19"/>
      <c r="F94" s="19"/>
      <c r="G94" s="28" t="s">
        <v>601</v>
      </c>
      <c r="H94" s="27" t="s">
        <v>575</v>
      </c>
      <c r="I94" s="19"/>
      <c r="J94" s="19"/>
      <c r="K94" s="19">
        <v>9.0000000000000002E-6</v>
      </c>
      <c r="L94" s="19">
        <v>1.2999999999999999E-5</v>
      </c>
      <c r="M94" s="19"/>
      <c r="N94" s="19"/>
      <c r="O94" s="17"/>
      <c r="P94" s="19"/>
      <c r="Q94" s="19"/>
      <c r="R94" s="19"/>
      <c r="S94" s="19"/>
      <c r="T94" s="19"/>
      <c r="U94" s="19"/>
      <c r="V94" s="19"/>
      <c r="W94" s="26"/>
      <c r="X94" s="26"/>
      <c r="Y94" s="26"/>
      <c r="Z94" s="26"/>
      <c r="AA94" s="26"/>
      <c r="AB94" s="26"/>
      <c r="AC94" s="26"/>
      <c r="AD94" s="26"/>
      <c r="AE94" s="19"/>
      <c r="AF94" s="19"/>
      <c r="AG94" s="19"/>
    </row>
    <row r="95" spans="2:33" ht="18.600000000000001" hidden="1" customHeight="1" outlineLevel="1" x14ac:dyDescent="0.2">
      <c r="B95" s="26"/>
      <c r="C95" s="26"/>
      <c r="D95" s="19"/>
      <c r="E95" s="19"/>
      <c r="F95" s="19"/>
      <c r="G95" s="28" t="s">
        <v>601</v>
      </c>
      <c r="H95" s="27" t="s">
        <v>575</v>
      </c>
      <c r="I95" s="19"/>
      <c r="J95" s="19"/>
      <c r="K95" s="19">
        <v>9.0000000000000002E-6</v>
      </c>
      <c r="L95" s="19">
        <v>1.2999999999999999E-5</v>
      </c>
      <c r="M95" s="19"/>
      <c r="N95" s="19"/>
      <c r="O95" s="17"/>
      <c r="P95" s="19"/>
      <c r="Q95" s="19"/>
      <c r="R95" s="19"/>
      <c r="S95" s="19"/>
      <c r="T95" s="19"/>
      <c r="U95" s="19"/>
      <c r="V95" s="19"/>
      <c r="W95" s="26"/>
      <c r="X95" s="26"/>
      <c r="Y95" s="26"/>
      <c r="Z95" s="26"/>
      <c r="AA95" s="26"/>
      <c r="AB95" s="26"/>
      <c r="AC95" s="26"/>
      <c r="AD95" s="26"/>
      <c r="AE95" s="19"/>
      <c r="AF95" s="19"/>
      <c r="AG95" s="19"/>
    </row>
    <row r="96" spans="2:33" ht="18.600000000000001" hidden="1" customHeight="1" outlineLevel="1" x14ac:dyDescent="0.2">
      <c r="B96" s="26"/>
      <c r="C96" s="26"/>
      <c r="D96" s="19"/>
      <c r="E96" s="19"/>
      <c r="F96" s="19"/>
      <c r="G96" s="28" t="s">
        <v>601</v>
      </c>
      <c r="H96" s="27" t="s">
        <v>575</v>
      </c>
      <c r="I96" s="19"/>
      <c r="J96" s="19"/>
      <c r="K96" s="19">
        <v>9.0000000000000002E-6</v>
      </c>
      <c r="L96" s="19">
        <v>1.2999999999999999E-5</v>
      </c>
      <c r="M96" s="19"/>
      <c r="N96" s="19"/>
      <c r="O96" s="17"/>
      <c r="P96" s="19"/>
      <c r="Q96" s="19"/>
      <c r="R96" s="19"/>
      <c r="S96" s="19"/>
      <c r="T96" s="19"/>
      <c r="U96" s="19"/>
      <c r="V96" s="19"/>
      <c r="W96" s="26"/>
      <c r="X96" s="26"/>
      <c r="Y96" s="26"/>
      <c r="Z96" s="26"/>
      <c r="AA96" s="26"/>
      <c r="AB96" s="26"/>
      <c r="AC96" s="26"/>
      <c r="AD96" s="26"/>
      <c r="AE96" s="19"/>
      <c r="AF96" s="19"/>
      <c r="AG96" s="19"/>
    </row>
    <row r="97" spans="2:33" ht="18.600000000000001" hidden="1" customHeight="1" outlineLevel="1" x14ac:dyDescent="0.2">
      <c r="B97" s="26"/>
      <c r="C97" s="26"/>
      <c r="D97" s="19"/>
      <c r="E97" s="19"/>
      <c r="F97" s="19"/>
      <c r="G97" s="28" t="s">
        <v>601</v>
      </c>
      <c r="H97" s="27" t="s">
        <v>575</v>
      </c>
      <c r="I97" s="19"/>
      <c r="J97" s="19"/>
      <c r="K97" s="19">
        <v>2.0000000000000002E-5</v>
      </c>
      <c r="L97" s="19">
        <v>2.5999999999999998E-5</v>
      </c>
      <c r="M97" s="19"/>
      <c r="N97" s="19"/>
      <c r="O97" s="17"/>
      <c r="P97" s="19"/>
      <c r="Q97" s="19"/>
      <c r="R97" s="19"/>
      <c r="S97" s="19"/>
      <c r="T97" s="19"/>
      <c r="U97" s="19"/>
      <c r="V97" s="19"/>
      <c r="W97" s="26"/>
      <c r="X97" s="26"/>
      <c r="Y97" s="26"/>
      <c r="Z97" s="26"/>
      <c r="AA97" s="26"/>
      <c r="AB97" s="26"/>
      <c r="AC97" s="26"/>
      <c r="AD97" s="26"/>
      <c r="AE97" s="19"/>
      <c r="AF97" s="19"/>
      <c r="AG97" s="19"/>
    </row>
    <row r="98" spans="2:33" ht="18.600000000000001" hidden="1" customHeight="1" outlineLevel="1" x14ac:dyDescent="0.2">
      <c r="B98" s="26"/>
      <c r="C98" s="26"/>
      <c r="D98" s="19"/>
      <c r="E98" s="19"/>
      <c r="F98" s="19"/>
      <c r="G98" s="28" t="s">
        <v>601</v>
      </c>
      <c r="H98" s="27" t="s">
        <v>575</v>
      </c>
      <c r="I98" s="19"/>
      <c r="J98" s="19"/>
      <c r="K98" s="19">
        <v>1.9000000000000001E-5</v>
      </c>
      <c r="L98" s="19">
        <v>2.5000000000000001E-5</v>
      </c>
      <c r="M98" s="19"/>
      <c r="N98" s="19"/>
      <c r="O98" s="17"/>
      <c r="P98" s="19"/>
      <c r="Q98" s="19"/>
      <c r="R98" s="19"/>
      <c r="S98" s="19"/>
      <c r="T98" s="19"/>
      <c r="U98" s="19"/>
      <c r="V98" s="19"/>
      <c r="W98" s="26"/>
      <c r="X98" s="26"/>
      <c r="Y98" s="26"/>
      <c r="Z98" s="26"/>
      <c r="AA98" s="26"/>
      <c r="AB98" s="26"/>
      <c r="AC98" s="26"/>
      <c r="AD98" s="26"/>
      <c r="AE98" s="19"/>
      <c r="AF98" s="19"/>
      <c r="AG98" s="19"/>
    </row>
    <row r="99" spans="2:33" ht="18.600000000000001" hidden="1" customHeight="1" outlineLevel="1" x14ac:dyDescent="0.2">
      <c r="B99" s="26"/>
      <c r="C99" s="26"/>
      <c r="D99" s="19"/>
      <c r="E99" s="19"/>
      <c r="F99" s="19"/>
      <c r="G99" s="28" t="s">
        <v>601</v>
      </c>
      <c r="H99" s="27" t="s">
        <v>575</v>
      </c>
      <c r="I99" s="19"/>
      <c r="J99" s="19"/>
      <c r="K99" s="19">
        <v>9.0000000000000002E-6</v>
      </c>
      <c r="L99" s="19">
        <v>1.2999999999999999E-5</v>
      </c>
      <c r="M99" s="19"/>
      <c r="N99" s="19"/>
      <c r="O99" s="17"/>
      <c r="P99" s="19"/>
      <c r="Q99" s="19"/>
      <c r="R99" s="19"/>
      <c r="S99" s="19"/>
      <c r="T99" s="19"/>
      <c r="U99" s="19"/>
      <c r="V99" s="19"/>
      <c r="W99" s="26"/>
      <c r="X99" s="26"/>
      <c r="Y99" s="26"/>
      <c r="Z99" s="26"/>
      <c r="AA99" s="26"/>
      <c r="AB99" s="26"/>
      <c r="AC99" s="26"/>
      <c r="AD99" s="26"/>
      <c r="AE99" s="19"/>
      <c r="AF99" s="19"/>
      <c r="AG99" s="19"/>
    </row>
    <row r="100" spans="2:33" ht="18.600000000000001" customHeight="1" x14ac:dyDescent="0.2">
      <c r="B100" s="19"/>
      <c r="C100" s="19"/>
      <c r="D100" s="19"/>
      <c r="E100" s="19"/>
      <c r="F100" s="19"/>
      <c r="G100" s="20" t="s">
        <v>616</v>
      </c>
      <c r="H100" s="27" t="s">
        <v>581</v>
      </c>
      <c r="I100" s="26" t="s">
        <v>582</v>
      </c>
      <c r="J100" s="26"/>
      <c r="K100" s="26"/>
      <c r="L100" s="26"/>
      <c r="M100" s="26"/>
      <c r="N100" s="26"/>
      <c r="O100" s="27"/>
      <c r="P100" s="26"/>
      <c r="Q100" s="26">
        <v>2</v>
      </c>
      <c r="R100" s="26"/>
      <c r="S100" s="26">
        <v>16</v>
      </c>
      <c r="T100" s="26" t="s">
        <v>76</v>
      </c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19"/>
    </row>
    <row r="101" spans="2:33" ht="18.600000000000001" customHeight="1" x14ac:dyDescent="0.2">
      <c r="B101" s="19"/>
      <c r="C101" s="19"/>
      <c r="D101" s="19"/>
      <c r="E101" s="19"/>
      <c r="F101" s="19"/>
      <c r="G101" s="20" t="s">
        <v>616</v>
      </c>
      <c r="H101" s="27" t="s">
        <v>583</v>
      </c>
      <c r="I101" s="26" t="s">
        <v>585</v>
      </c>
      <c r="J101" s="26"/>
      <c r="K101" s="26"/>
      <c r="L101" s="26"/>
      <c r="M101" s="26"/>
      <c r="N101" s="26"/>
      <c r="O101" s="27"/>
      <c r="P101" s="26"/>
      <c r="Q101" s="26">
        <v>2</v>
      </c>
      <c r="R101" s="26"/>
      <c r="S101" s="26">
        <v>17</v>
      </c>
      <c r="T101" s="26" t="s">
        <v>76</v>
      </c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19"/>
    </row>
    <row r="102" spans="2:33" ht="18.600000000000001" customHeight="1" x14ac:dyDescent="0.2">
      <c r="B102" s="19"/>
      <c r="C102" s="19"/>
      <c r="D102" s="19"/>
      <c r="E102" s="19"/>
      <c r="F102" s="19"/>
      <c r="G102" s="20" t="s">
        <v>608</v>
      </c>
      <c r="H102" s="27"/>
      <c r="I102" s="26"/>
      <c r="J102" s="26"/>
      <c r="K102" s="26"/>
      <c r="L102" s="26"/>
      <c r="M102" s="26"/>
      <c r="N102" s="26"/>
      <c r="O102" s="27"/>
      <c r="P102" s="19">
        <v>1</v>
      </c>
      <c r="Q102" s="19"/>
      <c r="R102" s="19">
        <v>1</v>
      </c>
      <c r="S102" s="19">
        <v>1</v>
      </c>
      <c r="T102" s="19" t="s">
        <v>75</v>
      </c>
      <c r="U102" s="26"/>
      <c r="V102" s="26"/>
      <c r="W102" s="26"/>
      <c r="X102" s="19"/>
      <c r="Y102" s="19"/>
      <c r="Z102" s="19"/>
      <c r="AA102" s="26"/>
      <c r="AB102" s="19"/>
      <c r="AC102" s="19"/>
      <c r="AD102" s="26"/>
      <c r="AE102" s="26"/>
      <c r="AF102" s="26"/>
      <c r="AG102" s="19"/>
    </row>
    <row r="103" spans="2:33" ht="18.600000000000001" customHeight="1" x14ac:dyDescent="0.2">
      <c r="B103" s="19"/>
      <c r="C103" s="19"/>
      <c r="D103" s="19"/>
      <c r="E103" s="19"/>
      <c r="F103" s="19"/>
      <c r="G103" s="20" t="s">
        <v>609</v>
      </c>
      <c r="H103" s="27"/>
      <c r="I103" s="26"/>
      <c r="J103" s="26"/>
      <c r="K103" s="26"/>
      <c r="L103" s="26"/>
      <c r="M103" s="26"/>
      <c r="N103" s="26"/>
      <c r="O103" s="27"/>
      <c r="P103" s="26"/>
      <c r="Q103" s="26"/>
      <c r="R103" s="26"/>
      <c r="S103" s="26"/>
      <c r="T103" s="26"/>
      <c r="U103" s="26"/>
      <c r="V103" s="26"/>
      <c r="W103" s="26"/>
      <c r="X103" s="19"/>
      <c r="Y103" s="19"/>
      <c r="Z103" s="19"/>
      <c r="AA103" s="26"/>
      <c r="AB103" s="26"/>
      <c r="AC103" s="26"/>
      <c r="AD103" s="26"/>
      <c r="AE103" s="26"/>
      <c r="AF103" s="26"/>
      <c r="AG103" s="19"/>
    </row>
  </sheetData>
  <mergeCells count="11">
    <mergeCell ref="U3:V3"/>
    <mergeCell ref="X3:AA3"/>
    <mergeCell ref="AB3:AD3"/>
    <mergeCell ref="AE3:AF3"/>
    <mergeCell ref="B1:H1"/>
    <mergeCell ref="D3:F3"/>
    <mergeCell ref="G3:H3"/>
    <mergeCell ref="K3:L3"/>
    <mergeCell ref="M3:O3"/>
    <mergeCell ref="P3:Q3"/>
    <mergeCell ref="R3:S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219" r:id="rId4" name="ComboBox23">
          <controlPr defaultSize="0" autoLine="0" r:id="rId5">
            <anchor moveWithCells="1">
              <from>
                <xdr:col>6</xdr:col>
                <xdr:colOff>9525</xdr:colOff>
                <xdr:row>86</xdr:row>
                <xdr:rowOff>0</xdr:rowOff>
              </from>
              <to>
                <xdr:col>7</xdr:col>
                <xdr:colOff>190500</xdr:colOff>
                <xdr:row>86</xdr:row>
                <xdr:rowOff>200025</xdr:rowOff>
              </to>
            </anchor>
          </controlPr>
        </control>
      </mc:Choice>
      <mc:Fallback>
        <control shapeId="6219" r:id="rId4" name="ComboBox23"/>
      </mc:Fallback>
    </mc:AlternateContent>
    <mc:AlternateContent xmlns:mc="http://schemas.openxmlformats.org/markup-compatibility/2006">
      <mc:Choice Requires="x14">
        <control shapeId="6218" r:id="rId6" name="ComboBox22">
          <controlPr defaultSize="0" autoLine="0" r:id="rId7">
            <anchor moveWithCells="1">
              <from>
                <xdr:col>7</xdr:col>
                <xdr:colOff>9525</xdr:colOff>
                <xdr:row>67</xdr:row>
                <xdr:rowOff>9525</xdr:rowOff>
              </from>
              <to>
                <xdr:col>8</xdr:col>
                <xdr:colOff>190500</xdr:colOff>
                <xdr:row>67</xdr:row>
                <xdr:rowOff>209550</xdr:rowOff>
              </to>
            </anchor>
          </controlPr>
        </control>
      </mc:Choice>
      <mc:Fallback>
        <control shapeId="6218" r:id="rId6" name="ComboBox22"/>
      </mc:Fallback>
    </mc:AlternateContent>
    <mc:AlternateContent xmlns:mc="http://schemas.openxmlformats.org/markup-compatibility/2006">
      <mc:Choice Requires="x14">
        <control shapeId="6217" r:id="rId8" name="ComboBox21">
          <controlPr defaultSize="0" autoLine="0" r:id="rId9">
            <anchor moveWithCells="1">
              <from>
                <xdr:col>6</xdr:col>
                <xdr:colOff>9525</xdr:colOff>
                <xdr:row>4</xdr:row>
                <xdr:rowOff>9525</xdr:rowOff>
              </from>
              <to>
                <xdr:col>7</xdr:col>
                <xdr:colOff>190500</xdr:colOff>
                <xdr:row>4</xdr:row>
                <xdr:rowOff>209550</xdr:rowOff>
              </to>
            </anchor>
          </controlPr>
        </control>
      </mc:Choice>
      <mc:Fallback>
        <control shapeId="6217" r:id="rId8" name="ComboBox2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outlinePr summaryBelow="0" summaryRight="0"/>
  </sheetPr>
  <dimension ref="A1:F15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8.600000000000001" customHeight="1" outlineLevelRow="1" x14ac:dyDescent="0.2"/>
  <cols>
    <col min="1" max="1" width="9.140625" style="10"/>
    <col min="2" max="2" width="13.42578125" style="10" customWidth="1"/>
    <col min="3" max="3" width="6.28515625" style="10" customWidth="1"/>
    <col min="4" max="4" width="13.42578125" style="10" customWidth="1"/>
    <col min="5" max="5" width="17.5703125" style="10" customWidth="1"/>
    <col min="6" max="6" width="42.85546875" style="10" customWidth="1"/>
    <col min="7" max="16384" width="9.140625" style="10"/>
  </cols>
  <sheetData>
    <row r="1" spans="1:6" ht="26.25" x14ac:dyDescent="0.4">
      <c r="A1" s="13" t="s">
        <v>247</v>
      </c>
      <c r="B1" s="16" t="s">
        <v>23</v>
      </c>
      <c r="C1" s="16"/>
      <c r="D1" s="16"/>
      <c r="E1" s="16"/>
      <c r="F1" s="16"/>
    </row>
    <row r="2" spans="1:6" ht="13.5" thickBot="1" x14ac:dyDescent="0.25"/>
    <row r="3" spans="1:6" s="11" customFormat="1" ht="13.5" thickBot="1" x14ac:dyDescent="0.25">
      <c r="B3" s="14" t="s">
        <v>229</v>
      </c>
      <c r="C3" s="15" t="s">
        <v>248</v>
      </c>
      <c r="D3" s="14" t="s">
        <v>71</v>
      </c>
      <c r="E3" s="14" t="s">
        <v>11</v>
      </c>
      <c r="F3" s="15" t="s">
        <v>3</v>
      </c>
    </row>
    <row r="4" spans="1:6" ht="18.600000000000001" customHeight="1" collapsed="1" x14ac:dyDescent="0.2">
      <c r="B4" s="30" t="s">
        <v>249</v>
      </c>
      <c r="C4" s="19"/>
      <c r="D4" s="17" t="s">
        <v>252</v>
      </c>
      <c r="E4" s="19">
        <v>0</v>
      </c>
      <c r="F4" s="19"/>
    </row>
    <row r="5" spans="1:6" ht="18.600000000000001" hidden="1" customHeight="1" outlineLevel="1" x14ac:dyDescent="0.2">
      <c r="B5" s="28" t="s">
        <v>249</v>
      </c>
      <c r="C5" s="26"/>
      <c r="D5" s="17" t="s">
        <v>253</v>
      </c>
      <c r="E5" s="19">
        <v>2.9699999999999998</v>
      </c>
      <c r="F5" s="19"/>
    </row>
    <row r="6" spans="1:6" ht="18.600000000000001" hidden="1" customHeight="1" outlineLevel="1" x14ac:dyDescent="0.2">
      <c r="B6" s="28" t="s">
        <v>249</v>
      </c>
      <c r="C6" s="26"/>
      <c r="D6" s="17" t="s">
        <v>254</v>
      </c>
      <c r="E6" s="19">
        <v>1.8149999999999999</v>
      </c>
      <c r="F6" s="19"/>
    </row>
    <row r="7" spans="1:6" ht="18.600000000000001" hidden="1" customHeight="1" outlineLevel="1" x14ac:dyDescent="0.2">
      <c r="B7" s="28" t="s">
        <v>249</v>
      </c>
      <c r="C7" s="26"/>
      <c r="D7" s="17" t="s">
        <v>255</v>
      </c>
      <c r="E7" s="19">
        <v>2.9699999999999998</v>
      </c>
      <c r="F7" s="19"/>
    </row>
    <row r="8" spans="1:6" ht="18.600000000000001" hidden="1" customHeight="1" outlineLevel="1" x14ac:dyDescent="0.2">
      <c r="B8" s="28" t="s">
        <v>249</v>
      </c>
      <c r="C8" s="26"/>
      <c r="D8" s="17" t="s">
        <v>256</v>
      </c>
      <c r="E8" s="19">
        <v>1E-4</v>
      </c>
      <c r="F8" s="19"/>
    </row>
    <row r="9" spans="1:6" ht="18.600000000000001" hidden="1" customHeight="1" outlineLevel="1" x14ac:dyDescent="0.2">
      <c r="B9" s="28" t="s">
        <v>249</v>
      </c>
      <c r="C9" s="26"/>
      <c r="D9" s="17" t="s">
        <v>257</v>
      </c>
      <c r="E9" s="19">
        <v>-1E-4</v>
      </c>
      <c r="F9" s="19"/>
    </row>
    <row r="10" spans="1:6" ht="18.600000000000001" hidden="1" customHeight="1" outlineLevel="1" x14ac:dyDescent="0.2">
      <c r="B10" s="28" t="s">
        <v>249</v>
      </c>
      <c r="C10" s="26"/>
      <c r="D10" s="17" t="s">
        <v>258</v>
      </c>
      <c r="E10" s="19">
        <v>3.3</v>
      </c>
      <c r="F10" s="19"/>
    </row>
    <row r="11" spans="1:6" ht="18.600000000000001" hidden="1" customHeight="1" outlineLevel="1" x14ac:dyDescent="0.2">
      <c r="B11" s="28" t="s">
        <v>249</v>
      </c>
      <c r="C11" s="26"/>
      <c r="D11" s="17" t="s">
        <v>259</v>
      </c>
      <c r="E11" s="19">
        <v>-1</v>
      </c>
      <c r="F11" s="19"/>
    </row>
    <row r="12" spans="1:6" ht="18.600000000000001" hidden="1" customHeight="1" outlineLevel="1" x14ac:dyDescent="0.2">
      <c r="B12" s="28" t="s">
        <v>249</v>
      </c>
      <c r="C12" s="26"/>
      <c r="D12" s="17" t="s">
        <v>260</v>
      </c>
      <c r="E12" s="19">
        <v>6</v>
      </c>
      <c r="F12" s="19"/>
    </row>
    <row r="13" spans="1:6" ht="18.600000000000001" hidden="1" customHeight="1" outlineLevel="1" x14ac:dyDescent="0.2">
      <c r="B13" s="28" t="s">
        <v>249</v>
      </c>
      <c r="C13" s="26"/>
      <c r="D13" s="17" t="s">
        <v>261</v>
      </c>
      <c r="E13" s="19">
        <v>0</v>
      </c>
      <c r="F13" s="19"/>
    </row>
    <row r="14" spans="1:6" ht="18.600000000000001" hidden="1" customHeight="1" outlineLevel="1" x14ac:dyDescent="0.2">
      <c r="B14" s="28" t="s">
        <v>249</v>
      </c>
      <c r="C14" s="26"/>
      <c r="D14" s="17" t="s">
        <v>262</v>
      </c>
      <c r="E14" s="19">
        <v>0</v>
      </c>
      <c r="F14" s="19"/>
    </row>
    <row r="15" spans="1:6" ht="18.600000000000001" hidden="1" customHeight="1" outlineLevel="1" x14ac:dyDescent="0.2">
      <c r="B15" s="28" t="s">
        <v>249</v>
      </c>
      <c r="C15" s="26"/>
      <c r="D15" s="17" t="s">
        <v>263</v>
      </c>
      <c r="E15" s="19" t="s">
        <v>264</v>
      </c>
      <c r="F15" s="19"/>
    </row>
  </sheetData>
  <autoFilter ref="D3:D4"/>
  <mergeCells count="1">
    <mergeCell ref="B1:F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283" r:id="rId3" name="ComboBox21">
          <controlPr defaultSize="0" autoLine="0" linkedCell="Levels!$B$4" r:id="rId4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190500</xdr:colOff>
                <xdr:row>3</xdr:row>
                <xdr:rowOff>209550</xdr:rowOff>
              </to>
            </anchor>
          </controlPr>
        </control>
      </mc:Choice>
      <mc:Fallback>
        <control shapeId="7283" r:id="rId3" name="ComboBox2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R10"/>
  <sheetViews>
    <sheetView showGridLines="0" workbookViewId="0">
      <pane ySplit="7" topLeftCell="A8" activePane="bottomLeft" state="frozen"/>
      <selection pane="bottomLeft" activeCell="B8" sqref="B8"/>
    </sheetView>
  </sheetViews>
  <sheetFormatPr defaultRowHeight="18.600000000000001" customHeight="1" x14ac:dyDescent="0.2"/>
  <cols>
    <col min="1" max="1" width="9.140625" style="10"/>
    <col min="2" max="6" width="13.42578125" style="10" customWidth="1"/>
    <col min="7" max="8" width="9.140625" style="10" customWidth="1"/>
    <col min="9" max="16" width="13.42578125" style="10" customWidth="1"/>
    <col min="17" max="17" width="17.5703125" style="10" customWidth="1"/>
    <col min="18" max="18" width="42.85546875" style="10" customWidth="1"/>
    <col min="19" max="16384" width="9.140625" style="10"/>
  </cols>
  <sheetData>
    <row r="1" spans="1:18" ht="26.25" x14ac:dyDescent="0.4">
      <c r="A1" s="13" t="s">
        <v>222</v>
      </c>
      <c r="B1" s="16" t="s">
        <v>242</v>
      </c>
      <c r="C1" s="16"/>
      <c r="D1" s="16"/>
      <c r="E1" s="16"/>
      <c r="F1" s="16"/>
    </row>
    <row r="2" spans="1:18" ht="12.75" x14ac:dyDescent="0.2"/>
    <row r="3" spans="1:18" ht="12.75" x14ac:dyDescent="0.2">
      <c r="B3" s="22" t="s">
        <v>220</v>
      </c>
      <c r="C3" s="12" t="s">
        <v>221</v>
      </c>
      <c r="E3" s="22" t="s">
        <v>217</v>
      </c>
      <c r="F3" s="12"/>
    </row>
    <row r="4" spans="1:18" ht="12.75" x14ac:dyDescent="0.2">
      <c r="B4" s="22" t="s">
        <v>219</v>
      </c>
      <c r="C4" s="12"/>
      <c r="E4" s="22" t="s">
        <v>218</v>
      </c>
      <c r="F4" s="12"/>
    </row>
    <row r="5" spans="1:18" ht="13.5" thickBot="1" x14ac:dyDescent="0.25"/>
    <row r="6" spans="1:18" s="11" customFormat="1" ht="13.5" thickBot="1" x14ac:dyDescent="0.25">
      <c r="C6" s="34" t="s">
        <v>225</v>
      </c>
      <c r="D6" s="23" t="s">
        <v>229</v>
      </c>
      <c r="E6" s="24"/>
      <c r="F6" s="25"/>
      <c r="G6" s="23" t="s">
        <v>232</v>
      </c>
      <c r="H6" s="25"/>
      <c r="I6" s="23" t="s">
        <v>236</v>
      </c>
      <c r="J6" s="24"/>
      <c r="K6" s="24"/>
      <c r="L6" s="25"/>
      <c r="M6" s="23" t="s">
        <v>240</v>
      </c>
      <c r="N6" s="24"/>
      <c r="O6" s="24"/>
      <c r="P6" s="25"/>
      <c r="Q6" s="34" t="s">
        <v>241</v>
      </c>
    </row>
    <row r="7" spans="1:18" s="11" customFormat="1" ht="13.5" thickBot="1" x14ac:dyDescent="0.25">
      <c r="B7" s="14" t="s">
        <v>223</v>
      </c>
      <c r="C7" s="14" t="s">
        <v>224</v>
      </c>
      <c r="D7" s="14" t="s">
        <v>14</v>
      </c>
      <c r="E7" s="15" t="s">
        <v>226</v>
      </c>
      <c r="F7" s="15" t="s">
        <v>227</v>
      </c>
      <c r="G7" s="14" t="s">
        <v>228</v>
      </c>
      <c r="H7" s="14" t="s">
        <v>230</v>
      </c>
      <c r="I7" s="14" t="s">
        <v>231</v>
      </c>
      <c r="J7" s="14" t="s">
        <v>232</v>
      </c>
      <c r="K7" s="14" t="s">
        <v>233</v>
      </c>
      <c r="L7" s="14" t="s">
        <v>234</v>
      </c>
      <c r="M7" s="14" t="s">
        <v>235</v>
      </c>
      <c r="N7" s="14" t="s">
        <v>237</v>
      </c>
      <c r="O7" s="14" t="s">
        <v>238</v>
      </c>
      <c r="P7" s="14" t="s">
        <v>239</v>
      </c>
      <c r="Q7" s="14" t="s">
        <v>235</v>
      </c>
      <c r="R7" s="15" t="s">
        <v>3</v>
      </c>
    </row>
    <row r="8" spans="1:18" ht="18.600000000000001" customHeight="1" x14ac:dyDescent="0.25">
      <c r="B8" s="21" t="s">
        <v>243</v>
      </c>
      <c r="C8" s="18">
        <f>_cycPeriod</f>
        <v>8.0000000000000005E-9</v>
      </c>
      <c r="D8" s="17" t="s">
        <v>249</v>
      </c>
      <c r="E8" s="18"/>
      <c r="F8" s="19"/>
      <c r="G8" s="17" t="s">
        <v>244</v>
      </c>
      <c r="H8" s="17" t="s">
        <v>274</v>
      </c>
      <c r="I8" s="35"/>
      <c r="J8" s="18">
        <f>_cycOffset+1*_cycPeriod</f>
        <v>8.0000000000000005E-9</v>
      </c>
      <c r="K8" s="35">
        <f>_cycOffset+1*_cycPeriod</f>
        <v>8.0000000000000005E-9</v>
      </c>
      <c r="L8" s="18"/>
      <c r="M8" s="17" t="s">
        <v>245</v>
      </c>
      <c r="N8" s="18">
        <v>6.9999999999999998E-9</v>
      </c>
      <c r="O8" s="35"/>
      <c r="P8" s="35"/>
      <c r="Q8" s="17" t="s">
        <v>246</v>
      </c>
      <c r="R8" s="19"/>
    </row>
    <row r="9" spans="1:18" ht="18.600000000000001" customHeight="1" x14ac:dyDescent="0.25">
      <c r="B9" s="20" t="s">
        <v>275</v>
      </c>
      <c r="C9" s="18">
        <f>_cycPeriod</f>
        <v>8.0000000000000005E-9</v>
      </c>
      <c r="D9" s="17" t="s">
        <v>249</v>
      </c>
      <c r="E9" s="18"/>
      <c r="F9" s="19"/>
      <c r="G9" s="17" t="s">
        <v>244</v>
      </c>
      <c r="H9" s="17" t="s">
        <v>274</v>
      </c>
      <c r="I9" s="35"/>
      <c r="J9" s="18">
        <f>_cycOffset+1*_cycPeriod</f>
        <v>8.0000000000000005E-9</v>
      </c>
      <c r="K9" s="35">
        <f>_cycOffset+1*_cycPeriod</f>
        <v>8.0000000000000005E-9</v>
      </c>
      <c r="L9" s="18"/>
      <c r="M9" s="17" t="s">
        <v>245</v>
      </c>
      <c r="N9" s="18">
        <f>_cycOffset+0.2*_cycPeriod</f>
        <v>1.6000000000000003E-9</v>
      </c>
      <c r="O9" s="35"/>
      <c r="P9" s="35"/>
      <c r="Q9" s="17" t="s">
        <v>246</v>
      </c>
      <c r="R9" s="19"/>
    </row>
    <row r="10" spans="1:18" ht="18.600000000000001" customHeight="1" x14ac:dyDescent="0.25">
      <c r="B10" s="20" t="s">
        <v>2326</v>
      </c>
      <c r="C10" s="18">
        <v>8.0000000000000005E-9</v>
      </c>
      <c r="D10" s="17" t="s">
        <v>249</v>
      </c>
      <c r="E10" s="18"/>
      <c r="F10" s="19"/>
      <c r="G10" s="17" t="s">
        <v>244</v>
      </c>
      <c r="H10" s="17" t="s">
        <v>274</v>
      </c>
      <c r="I10" s="35"/>
      <c r="J10" s="18">
        <v>8.0000000000000005E-9</v>
      </c>
      <c r="K10" s="35">
        <v>8.0000000000000005E-9</v>
      </c>
      <c r="L10" s="18"/>
      <c r="M10" s="17" t="s">
        <v>2327</v>
      </c>
      <c r="N10" s="18">
        <v>1.52E-8</v>
      </c>
      <c r="O10" s="35"/>
      <c r="P10" s="35"/>
      <c r="Q10" s="17" t="s">
        <v>246</v>
      </c>
      <c r="R10" s="19"/>
    </row>
  </sheetData>
  <autoFilter ref="D7:D8"/>
  <mergeCells count="5">
    <mergeCell ref="D6:F6"/>
    <mergeCell ref="G6:H6"/>
    <mergeCell ref="I6:L6"/>
    <mergeCell ref="M6:P6"/>
    <mergeCell ref="B1:F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EO2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5" sqref="B5"/>
    </sheetView>
  </sheetViews>
  <sheetFormatPr defaultColWidth="9.140625" defaultRowHeight="18.600000000000001" customHeight="1" outlineLevelCol="1" x14ac:dyDescent="0.2"/>
  <cols>
    <col min="1" max="1" width="9.140625" style="10"/>
    <col min="2" max="2" width="27.28515625" style="10" customWidth="1"/>
    <col min="3" max="12" width="13.42578125" style="10" customWidth="1"/>
    <col min="13" max="13" width="18.85546875" style="10" customWidth="1"/>
    <col min="14" max="14" width="13.42578125" style="10" customWidth="1" collapsed="1"/>
    <col min="15" max="144" width="9.140625" style="10" hidden="1" customWidth="1" outlineLevel="1"/>
    <col min="145" max="145" width="42.85546875" style="10" customWidth="1"/>
    <col min="146" max="16384" width="9.140625" style="10"/>
  </cols>
  <sheetData>
    <row r="1" spans="1:145" ht="25.5" customHeight="1" x14ac:dyDescent="0.4">
      <c r="A1" s="13" t="s">
        <v>192</v>
      </c>
      <c r="B1" s="16" t="s">
        <v>66</v>
      </c>
      <c r="C1" s="16"/>
      <c r="D1" s="16"/>
      <c r="E1" s="16"/>
    </row>
    <row r="2" spans="1:145" ht="12.75" customHeight="1" thickBot="1" x14ac:dyDescent="0.25"/>
    <row r="3" spans="1:145" s="11" customFormat="1" ht="13.5" thickBot="1" x14ac:dyDescent="0.25">
      <c r="C3" s="23" t="s">
        <v>154</v>
      </c>
      <c r="D3" s="24"/>
      <c r="E3" s="25"/>
      <c r="F3" s="23" t="s">
        <v>16</v>
      </c>
      <c r="G3" s="25"/>
      <c r="H3" s="23" t="s">
        <v>19</v>
      </c>
      <c r="I3" s="25"/>
      <c r="J3" s="23" t="s">
        <v>20</v>
      </c>
      <c r="K3" s="24"/>
      <c r="L3" s="24"/>
      <c r="M3" s="25"/>
      <c r="O3" s="23" t="s">
        <v>24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5"/>
    </row>
    <row r="4" spans="1:145" s="11" customFormat="1" ht="26.25" thickBot="1" x14ac:dyDescent="0.25">
      <c r="B4" s="14" t="s">
        <v>13</v>
      </c>
      <c r="C4" s="14" t="s">
        <v>2</v>
      </c>
      <c r="D4" s="14" t="s">
        <v>14</v>
      </c>
      <c r="E4" s="14" t="s">
        <v>15</v>
      </c>
      <c r="F4" s="15" t="s">
        <v>17</v>
      </c>
      <c r="G4" s="15" t="s">
        <v>18</v>
      </c>
      <c r="H4" s="15" t="s">
        <v>17</v>
      </c>
      <c r="I4" s="15" t="s">
        <v>18</v>
      </c>
      <c r="J4" s="15" t="s">
        <v>21</v>
      </c>
      <c r="K4" s="15" t="s">
        <v>22</v>
      </c>
      <c r="L4" s="15" t="s">
        <v>23</v>
      </c>
      <c r="M4" s="15" t="s">
        <v>130</v>
      </c>
      <c r="N4" s="15" t="s">
        <v>109</v>
      </c>
      <c r="O4" s="15" t="s">
        <v>273</v>
      </c>
      <c r="P4" s="15" t="s">
        <v>611</v>
      </c>
      <c r="Q4" s="15" t="s">
        <v>612</v>
      </c>
      <c r="R4" s="15" t="s">
        <v>613</v>
      </c>
      <c r="S4" s="15" t="s">
        <v>25</v>
      </c>
      <c r="T4" s="15" t="s">
        <v>26</v>
      </c>
      <c r="U4" s="15" t="s">
        <v>27</v>
      </c>
      <c r="V4" s="15" t="s">
        <v>28</v>
      </c>
      <c r="W4" s="15" t="s">
        <v>29</v>
      </c>
      <c r="X4" s="15" t="s">
        <v>30</v>
      </c>
      <c r="Y4" s="15" t="s">
        <v>31</v>
      </c>
      <c r="Z4" s="15" t="s">
        <v>32</v>
      </c>
      <c r="AA4" s="15" t="s">
        <v>33</v>
      </c>
      <c r="AB4" s="15" t="s">
        <v>34</v>
      </c>
      <c r="AC4" s="15" t="s">
        <v>35</v>
      </c>
      <c r="AD4" s="15" t="s">
        <v>36</v>
      </c>
      <c r="AE4" s="15" t="s">
        <v>37</v>
      </c>
      <c r="AF4" s="15" t="s">
        <v>38</v>
      </c>
      <c r="AG4" s="15" t="s">
        <v>39</v>
      </c>
      <c r="AH4" s="15" t="s">
        <v>40</v>
      </c>
      <c r="AI4" s="15" t="s">
        <v>41</v>
      </c>
      <c r="AJ4" s="15" t="s">
        <v>42</v>
      </c>
      <c r="AK4" s="15" t="s">
        <v>43</v>
      </c>
      <c r="AL4" s="15" t="s">
        <v>44</v>
      </c>
      <c r="AM4" s="15" t="s">
        <v>45</v>
      </c>
      <c r="AN4" s="15" t="s">
        <v>46</v>
      </c>
      <c r="AO4" s="15" t="s">
        <v>47</v>
      </c>
      <c r="AP4" s="15" t="s">
        <v>48</v>
      </c>
      <c r="AQ4" s="15" t="s">
        <v>49</v>
      </c>
      <c r="AR4" s="15" t="s">
        <v>50</v>
      </c>
      <c r="AS4" s="15" t="s">
        <v>51</v>
      </c>
      <c r="AT4" s="15" t="s">
        <v>52</v>
      </c>
      <c r="AU4" s="15" t="s">
        <v>53</v>
      </c>
      <c r="AV4" s="15" t="s">
        <v>54</v>
      </c>
      <c r="AW4" s="15" t="s">
        <v>55</v>
      </c>
      <c r="AX4" s="15" t="s">
        <v>56</v>
      </c>
      <c r="AY4" s="15" t="s">
        <v>57</v>
      </c>
      <c r="AZ4" s="15" t="s">
        <v>58</v>
      </c>
      <c r="BA4" s="15" t="s">
        <v>59</v>
      </c>
      <c r="BB4" s="15" t="s">
        <v>60</v>
      </c>
      <c r="BC4" s="15" t="s">
        <v>61</v>
      </c>
      <c r="BD4" s="15" t="s">
        <v>62</v>
      </c>
      <c r="BE4" s="15" t="s">
        <v>63</v>
      </c>
      <c r="BF4" s="15" t="s">
        <v>64</v>
      </c>
      <c r="BG4" s="15" t="s">
        <v>65</v>
      </c>
      <c r="BH4" s="15" t="s">
        <v>94</v>
      </c>
      <c r="BI4" s="15" t="s">
        <v>95</v>
      </c>
      <c r="BJ4" s="15" t="s">
        <v>96</v>
      </c>
      <c r="BK4" s="15" t="s">
        <v>97</v>
      </c>
      <c r="BL4" s="15" t="s">
        <v>98</v>
      </c>
      <c r="BM4" s="15" t="s">
        <v>99</v>
      </c>
      <c r="BN4" s="15" t="s">
        <v>100</v>
      </c>
      <c r="BO4" s="15" t="s">
        <v>101</v>
      </c>
      <c r="BP4" s="15" t="s">
        <v>102</v>
      </c>
      <c r="BQ4" s="15" t="s">
        <v>103</v>
      </c>
      <c r="BR4" s="15" t="s">
        <v>104</v>
      </c>
      <c r="BS4" s="15" t="s">
        <v>105</v>
      </c>
      <c r="BT4" s="15" t="s">
        <v>106</v>
      </c>
      <c r="BU4" s="15" t="s">
        <v>107</v>
      </c>
      <c r="BV4" s="15" t="s">
        <v>108</v>
      </c>
      <c r="BW4" s="15" t="s">
        <v>110</v>
      </c>
      <c r="BX4" s="15" t="s">
        <v>111</v>
      </c>
      <c r="BY4" s="15" t="s">
        <v>112</v>
      </c>
      <c r="BZ4" s="15" t="s">
        <v>113</v>
      </c>
      <c r="CA4" s="15" t="s">
        <v>114</v>
      </c>
      <c r="CB4" s="15" t="s">
        <v>115</v>
      </c>
      <c r="CC4" s="15" t="s">
        <v>116</v>
      </c>
      <c r="CD4" s="15" t="s">
        <v>117</v>
      </c>
      <c r="CE4" s="15" t="s">
        <v>118</v>
      </c>
      <c r="CF4" s="15" t="s">
        <v>119</v>
      </c>
      <c r="CG4" s="15" t="s">
        <v>120</v>
      </c>
      <c r="CH4" s="15" t="s">
        <v>121</v>
      </c>
      <c r="CI4" s="15" t="s">
        <v>122</v>
      </c>
      <c r="CJ4" s="15" t="s">
        <v>123</v>
      </c>
      <c r="CK4" s="15" t="s">
        <v>124</v>
      </c>
      <c r="CL4" s="15" t="s">
        <v>125</v>
      </c>
      <c r="CM4" s="15" t="s">
        <v>126</v>
      </c>
      <c r="CN4" s="15" t="s">
        <v>127</v>
      </c>
      <c r="CO4" s="15" t="s">
        <v>128</v>
      </c>
      <c r="CP4" s="15" t="s">
        <v>129</v>
      </c>
      <c r="CQ4" s="15" t="s">
        <v>131</v>
      </c>
      <c r="CR4" s="15" t="s">
        <v>132</v>
      </c>
      <c r="CS4" s="15" t="s">
        <v>133</v>
      </c>
      <c r="CT4" s="15" t="s">
        <v>134</v>
      </c>
      <c r="CU4" s="15" t="s">
        <v>135</v>
      </c>
      <c r="CV4" s="15" t="s">
        <v>136</v>
      </c>
      <c r="CW4" s="15" t="s">
        <v>137</v>
      </c>
      <c r="CX4" s="15" t="s">
        <v>138</v>
      </c>
      <c r="CY4" s="15" t="s">
        <v>139</v>
      </c>
      <c r="CZ4" s="15" t="s">
        <v>140</v>
      </c>
      <c r="DA4" s="15" t="s">
        <v>141</v>
      </c>
      <c r="DB4" s="15" t="s">
        <v>142</v>
      </c>
      <c r="DC4" s="15" t="s">
        <v>143</v>
      </c>
      <c r="DD4" s="15" t="s">
        <v>144</v>
      </c>
      <c r="DE4" s="15" t="s">
        <v>145</v>
      </c>
      <c r="DF4" s="15" t="s">
        <v>146</v>
      </c>
      <c r="DG4" s="15" t="s">
        <v>147</v>
      </c>
      <c r="DH4" s="15" t="s">
        <v>148</v>
      </c>
      <c r="DI4" s="15" t="s">
        <v>149</v>
      </c>
      <c r="DJ4" s="15" t="s">
        <v>150</v>
      </c>
      <c r="DK4" s="15" t="s">
        <v>155</v>
      </c>
      <c r="DL4" s="15" t="s">
        <v>156</v>
      </c>
      <c r="DM4" s="15" t="s">
        <v>157</v>
      </c>
      <c r="DN4" s="15" t="s">
        <v>158</v>
      </c>
      <c r="DO4" s="15" t="s">
        <v>159</v>
      </c>
      <c r="DP4" s="15" t="s">
        <v>160</v>
      </c>
      <c r="DQ4" s="15" t="s">
        <v>161</v>
      </c>
      <c r="DR4" s="15" t="s">
        <v>162</v>
      </c>
      <c r="DS4" s="15" t="s">
        <v>163</v>
      </c>
      <c r="DT4" s="15" t="s">
        <v>164</v>
      </c>
      <c r="DU4" s="15" t="s">
        <v>165</v>
      </c>
      <c r="DV4" s="15" t="s">
        <v>166</v>
      </c>
      <c r="DW4" s="15" t="s">
        <v>167</v>
      </c>
      <c r="DX4" s="15" t="s">
        <v>168</v>
      </c>
      <c r="DY4" s="15" t="s">
        <v>169</v>
      </c>
      <c r="DZ4" s="15" t="s">
        <v>170</v>
      </c>
      <c r="EA4" s="15" t="s">
        <v>171</v>
      </c>
      <c r="EB4" s="15" t="s">
        <v>172</v>
      </c>
      <c r="EC4" s="15" t="s">
        <v>173</v>
      </c>
      <c r="ED4" s="15" t="s">
        <v>174</v>
      </c>
      <c r="EE4" s="15" t="s">
        <v>175</v>
      </c>
      <c r="EF4" s="15" t="s">
        <v>176</v>
      </c>
      <c r="EG4" s="15" t="s">
        <v>177</v>
      </c>
      <c r="EH4" s="15" t="s">
        <v>178</v>
      </c>
      <c r="EI4" s="15" t="s">
        <v>179</v>
      </c>
      <c r="EJ4" s="15" t="s">
        <v>180</v>
      </c>
      <c r="EK4" s="15" t="s">
        <v>181</v>
      </c>
      <c r="EL4" s="15" t="s">
        <v>182</v>
      </c>
      <c r="EM4" s="15" t="s">
        <v>183</v>
      </c>
      <c r="EN4" s="15" t="s">
        <v>184</v>
      </c>
      <c r="EO4" s="15" t="s">
        <v>3</v>
      </c>
    </row>
    <row r="5" spans="1:145" ht="18.600000000000001" customHeight="1" x14ac:dyDescent="0.2">
      <c r="B5" s="21" t="s">
        <v>214</v>
      </c>
      <c r="C5" s="17" t="s">
        <v>215</v>
      </c>
      <c r="D5" s="17" t="s">
        <v>250</v>
      </c>
      <c r="E5" s="27" t="s">
        <v>251</v>
      </c>
      <c r="F5" s="17"/>
      <c r="G5" s="17"/>
      <c r="H5" s="17"/>
      <c r="I5" s="17"/>
      <c r="J5" s="17" t="s">
        <v>21</v>
      </c>
      <c r="K5" s="17"/>
      <c r="L5" s="17" t="s">
        <v>270</v>
      </c>
      <c r="M5" s="17"/>
      <c r="N5" s="17"/>
      <c r="O5" s="19" t="s">
        <v>272</v>
      </c>
      <c r="P5" s="19" t="s">
        <v>212</v>
      </c>
      <c r="Q5" s="19" t="s">
        <v>271</v>
      </c>
      <c r="R5" s="19" t="s">
        <v>269</v>
      </c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</row>
    <row r="6" spans="1:145" ht="18.600000000000001" customHeight="1" x14ac:dyDescent="0.2">
      <c r="B6" s="20" t="s">
        <v>277</v>
      </c>
      <c r="C6" s="17" t="s">
        <v>215</v>
      </c>
      <c r="D6" s="17" t="s">
        <v>278</v>
      </c>
      <c r="E6" s="27" t="s">
        <v>251</v>
      </c>
      <c r="F6" s="17"/>
      <c r="G6" s="17"/>
      <c r="H6" s="17"/>
      <c r="I6" s="17"/>
      <c r="J6" s="17" t="s">
        <v>21</v>
      </c>
      <c r="K6" s="17"/>
      <c r="L6" s="17" t="s">
        <v>270</v>
      </c>
      <c r="M6" s="17"/>
      <c r="N6" s="17"/>
      <c r="O6" s="19" t="s">
        <v>272</v>
      </c>
      <c r="P6" s="19" t="s">
        <v>212</v>
      </c>
      <c r="Q6" s="19" t="s">
        <v>276</v>
      </c>
      <c r="R6" s="19" t="s">
        <v>279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</row>
    <row r="7" spans="1:145" ht="18.600000000000001" customHeight="1" x14ac:dyDescent="0.2">
      <c r="B7" s="20" t="s">
        <v>577</v>
      </c>
      <c r="C7" s="17" t="s">
        <v>215</v>
      </c>
      <c r="D7" s="17" t="s">
        <v>598</v>
      </c>
      <c r="E7" s="27"/>
      <c r="F7" s="17"/>
      <c r="G7" s="17"/>
      <c r="H7" s="17"/>
      <c r="I7" s="17"/>
      <c r="J7" s="17" t="s">
        <v>21</v>
      </c>
      <c r="K7" s="17"/>
      <c r="L7" s="17" t="s">
        <v>270</v>
      </c>
      <c r="M7" s="17"/>
      <c r="N7" s="17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</row>
    <row r="8" spans="1:145" ht="18.600000000000001" customHeight="1" x14ac:dyDescent="0.2">
      <c r="B8" s="20" t="s">
        <v>579</v>
      </c>
      <c r="C8" s="17" t="s">
        <v>215</v>
      </c>
      <c r="D8" s="17" t="s">
        <v>599</v>
      </c>
      <c r="E8" s="27"/>
      <c r="F8" s="17"/>
      <c r="G8" s="17"/>
      <c r="H8" s="17"/>
      <c r="I8" s="17"/>
      <c r="J8" s="17" t="s">
        <v>21</v>
      </c>
      <c r="K8" s="17"/>
      <c r="L8" s="17" t="s">
        <v>270</v>
      </c>
      <c r="M8" s="17"/>
      <c r="N8" s="17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</row>
    <row r="9" spans="1:145" ht="18.600000000000001" customHeight="1" x14ac:dyDescent="0.2">
      <c r="B9" s="20" t="s">
        <v>569</v>
      </c>
      <c r="C9" s="17" t="s">
        <v>215</v>
      </c>
      <c r="D9" s="17" t="s">
        <v>595</v>
      </c>
      <c r="E9" s="27"/>
      <c r="F9" s="17"/>
      <c r="G9" s="17"/>
      <c r="H9" s="17"/>
      <c r="I9" s="17"/>
      <c r="J9" s="17" t="s">
        <v>21</v>
      </c>
      <c r="K9" s="17"/>
      <c r="L9" s="17" t="s">
        <v>270</v>
      </c>
      <c r="M9" s="17"/>
      <c r="N9" s="17"/>
      <c r="O9" s="19" t="s">
        <v>272</v>
      </c>
      <c r="P9" s="19">
        <v>10</v>
      </c>
      <c r="Q9" s="19">
        <v>8.0000000000000005E-9</v>
      </c>
      <c r="R9" s="19">
        <v>42</v>
      </c>
      <c r="S9" s="19">
        <v>-0.1</v>
      </c>
      <c r="T9" s="19">
        <v>3.4</v>
      </c>
      <c r="U9" s="19">
        <v>36</v>
      </c>
      <c r="V9" s="19" t="s">
        <v>2102</v>
      </c>
      <c r="W9" s="19" t="s">
        <v>2103</v>
      </c>
      <c r="X9" s="19" t="s">
        <v>2104</v>
      </c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</row>
    <row r="10" spans="1:145" ht="18.600000000000001" customHeight="1" x14ac:dyDescent="0.2">
      <c r="B10" s="20" t="s">
        <v>557</v>
      </c>
      <c r="C10" s="17" t="s">
        <v>215</v>
      </c>
      <c r="D10" s="17" t="s">
        <v>588</v>
      </c>
      <c r="E10" s="27"/>
      <c r="F10" s="17"/>
      <c r="G10" s="17"/>
      <c r="H10" s="17"/>
      <c r="I10" s="17"/>
      <c r="J10" s="17" t="s">
        <v>21</v>
      </c>
      <c r="K10" s="17"/>
      <c r="L10" s="17" t="s">
        <v>270</v>
      </c>
      <c r="M10" s="17"/>
      <c r="N10" s="17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</row>
    <row r="11" spans="1:145" ht="18.600000000000001" customHeight="1" x14ac:dyDescent="0.2">
      <c r="B11" s="20" t="s">
        <v>559</v>
      </c>
      <c r="C11" s="17" t="s">
        <v>215</v>
      </c>
      <c r="D11" s="17" t="s">
        <v>589</v>
      </c>
      <c r="E11" s="27"/>
      <c r="F11" s="17"/>
      <c r="G11" s="17"/>
      <c r="H11" s="17"/>
      <c r="I11" s="17"/>
      <c r="J11" s="17" t="s">
        <v>21</v>
      </c>
      <c r="K11" s="17"/>
      <c r="L11" s="17" t="s">
        <v>270</v>
      </c>
      <c r="M11" s="17"/>
      <c r="N11" s="17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</row>
    <row r="12" spans="1:145" ht="18.600000000000001" customHeight="1" x14ac:dyDescent="0.2">
      <c r="B12" s="20" t="s">
        <v>563</v>
      </c>
      <c r="C12" s="17" t="s">
        <v>215</v>
      </c>
      <c r="D12" s="17" t="s">
        <v>591</v>
      </c>
      <c r="E12" s="27"/>
      <c r="F12" s="17"/>
      <c r="G12" s="17"/>
      <c r="H12" s="17"/>
      <c r="I12" s="17"/>
      <c r="J12" s="17" t="s">
        <v>21</v>
      </c>
      <c r="K12" s="17"/>
      <c r="L12" s="17" t="s">
        <v>270</v>
      </c>
      <c r="M12" s="17"/>
      <c r="N12" s="17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</row>
    <row r="13" spans="1:145" ht="18.600000000000001" customHeight="1" x14ac:dyDescent="0.2">
      <c r="B13" s="20" t="s">
        <v>564</v>
      </c>
      <c r="C13" s="17" t="s">
        <v>215</v>
      </c>
      <c r="D13" s="17" t="s">
        <v>592</v>
      </c>
      <c r="E13" s="27"/>
      <c r="F13" s="17"/>
      <c r="G13" s="17"/>
      <c r="H13" s="17"/>
      <c r="I13" s="17"/>
      <c r="J13" s="17" t="s">
        <v>21</v>
      </c>
      <c r="K13" s="17"/>
      <c r="L13" s="17" t="s">
        <v>270</v>
      </c>
      <c r="M13" s="17"/>
      <c r="N13" s="17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</row>
    <row r="14" spans="1:145" ht="18.600000000000001" customHeight="1" x14ac:dyDescent="0.2">
      <c r="B14" s="20" t="s">
        <v>561</v>
      </c>
      <c r="C14" s="17" t="s">
        <v>215</v>
      </c>
      <c r="D14" s="17" t="s">
        <v>590</v>
      </c>
      <c r="E14" s="27"/>
      <c r="F14" s="17"/>
      <c r="G14" s="17"/>
      <c r="H14" s="17"/>
      <c r="I14" s="17"/>
      <c r="J14" s="17" t="s">
        <v>21</v>
      </c>
      <c r="K14" s="17"/>
      <c r="L14" s="17" t="s">
        <v>270</v>
      </c>
      <c r="M14" s="17"/>
      <c r="N14" s="17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</row>
    <row r="15" spans="1:145" ht="18.600000000000001" customHeight="1" x14ac:dyDescent="0.2">
      <c r="B15" s="20" t="s">
        <v>571</v>
      </c>
      <c r="C15" s="17" t="s">
        <v>215</v>
      </c>
      <c r="D15" s="17" t="s">
        <v>596</v>
      </c>
      <c r="E15" s="27"/>
      <c r="F15" s="17"/>
      <c r="G15" s="17"/>
      <c r="H15" s="17"/>
      <c r="I15" s="17"/>
      <c r="J15" s="17" t="s">
        <v>21</v>
      </c>
      <c r="K15" s="17"/>
      <c r="L15" s="17" t="s">
        <v>270</v>
      </c>
      <c r="M15" s="17"/>
      <c r="N15" s="17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</row>
    <row r="16" spans="1:145" ht="18.600000000000001" customHeight="1" x14ac:dyDescent="0.2">
      <c r="B16" s="20" t="s">
        <v>565</v>
      </c>
      <c r="C16" s="17" t="s">
        <v>215</v>
      </c>
      <c r="D16" s="17" t="s">
        <v>593</v>
      </c>
      <c r="E16" s="27"/>
      <c r="F16" s="17"/>
      <c r="G16" s="17"/>
      <c r="H16" s="17"/>
      <c r="I16" s="17"/>
      <c r="J16" s="17" t="s">
        <v>21</v>
      </c>
      <c r="K16" s="17"/>
      <c r="L16" s="17" t="s">
        <v>270</v>
      </c>
      <c r="M16" s="17"/>
      <c r="N16" s="17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</row>
    <row r="17" spans="2:145" ht="18.600000000000001" customHeight="1" x14ac:dyDescent="0.2">
      <c r="B17" s="20" t="s">
        <v>567</v>
      </c>
      <c r="C17" s="17" t="s">
        <v>215</v>
      </c>
      <c r="D17" s="17" t="s">
        <v>594</v>
      </c>
      <c r="E17" s="27"/>
      <c r="F17" s="17"/>
      <c r="G17" s="17"/>
      <c r="H17" s="17"/>
      <c r="I17" s="17"/>
      <c r="J17" s="17" t="s">
        <v>21</v>
      </c>
      <c r="K17" s="17"/>
      <c r="L17" s="17" t="s">
        <v>270</v>
      </c>
      <c r="M17" s="17"/>
      <c r="N17" s="17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</row>
    <row r="18" spans="2:145" ht="18.600000000000001" customHeight="1" x14ac:dyDescent="0.2">
      <c r="B18" s="20" t="s">
        <v>553</v>
      </c>
      <c r="C18" s="17" t="s">
        <v>215</v>
      </c>
      <c r="D18" s="17" t="s">
        <v>586</v>
      </c>
      <c r="E18" s="27"/>
      <c r="F18" s="17"/>
      <c r="G18" s="17"/>
      <c r="H18" s="17"/>
      <c r="I18" s="17"/>
      <c r="J18" s="17" t="s">
        <v>21</v>
      </c>
      <c r="K18" s="17"/>
      <c r="L18" s="17" t="s">
        <v>270</v>
      </c>
      <c r="M18" s="17"/>
      <c r="N18" s="17"/>
      <c r="O18" s="19" t="s">
        <v>607</v>
      </c>
      <c r="P18" s="19">
        <v>5</v>
      </c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</row>
    <row r="19" spans="2:145" ht="18.600000000000001" customHeight="1" x14ac:dyDescent="0.2">
      <c r="B19" s="20" t="s">
        <v>575</v>
      </c>
      <c r="C19" s="17" t="s">
        <v>215</v>
      </c>
      <c r="D19" s="17" t="s">
        <v>597</v>
      </c>
      <c r="E19" s="27"/>
      <c r="F19" s="17"/>
      <c r="G19" s="17"/>
      <c r="H19" s="17"/>
      <c r="I19" s="17"/>
      <c r="J19" s="17" t="s">
        <v>21</v>
      </c>
      <c r="K19" s="17"/>
      <c r="L19" s="17" t="s">
        <v>270</v>
      </c>
      <c r="M19" s="17"/>
      <c r="N19" s="17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</row>
    <row r="20" spans="2:145" ht="18.600000000000001" customHeight="1" x14ac:dyDescent="0.2">
      <c r="B20" s="20" t="s">
        <v>554</v>
      </c>
      <c r="C20" s="17" t="s">
        <v>215</v>
      </c>
      <c r="D20" s="17" t="s">
        <v>587</v>
      </c>
      <c r="E20" s="27"/>
      <c r="F20" s="17"/>
      <c r="G20" s="17"/>
      <c r="H20" s="17"/>
      <c r="I20" s="17"/>
      <c r="J20" s="17" t="s">
        <v>21</v>
      </c>
      <c r="K20" s="17"/>
      <c r="L20" s="17" t="s">
        <v>270</v>
      </c>
      <c r="M20" s="17"/>
      <c r="N20" s="17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</row>
    <row r="21" spans="2:145" ht="18.600000000000001" customHeight="1" x14ac:dyDescent="0.2">
      <c r="B21" s="20" t="s">
        <v>581</v>
      </c>
      <c r="C21" s="17" t="s">
        <v>215</v>
      </c>
      <c r="D21" s="17" t="s">
        <v>600</v>
      </c>
      <c r="E21" s="27"/>
      <c r="F21" s="17"/>
      <c r="G21" s="17"/>
      <c r="H21" s="17"/>
      <c r="I21" s="17"/>
      <c r="J21" s="17" t="s">
        <v>21</v>
      </c>
      <c r="K21" s="17"/>
      <c r="L21" s="17" t="s">
        <v>270</v>
      </c>
      <c r="M21" s="17"/>
      <c r="N21" s="17"/>
      <c r="O21" s="19" t="s">
        <v>2105</v>
      </c>
      <c r="P21" s="19">
        <v>1000</v>
      </c>
      <c r="Q21" s="19">
        <v>8.0000000000000005E-9</v>
      </c>
      <c r="R21" s="19">
        <v>4200</v>
      </c>
      <c r="S21" s="19">
        <v>-0.1</v>
      </c>
      <c r="T21" s="19">
        <v>3.4</v>
      </c>
      <c r="U21" s="19">
        <v>200</v>
      </c>
      <c r="V21" s="19" t="s">
        <v>249</v>
      </c>
      <c r="W21" s="19" t="s">
        <v>2106</v>
      </c>
      <c r="X21" s="19" t="s">
        <v>2107</v>
      </c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</row>
    <row r="22" spans="2:145" ht="18.600000000000001" customHeight="1" x14ac:dyDescent="0.2">
      <c r="B22" s="20" t="s">
        <v>583</v>
      </c>
      <c r="C22" s="17" t="s">
        <v>215</v>
      </c>
      <c r="D22" s="17" t="s">
        <v>2108</v>
      </c>
      <c r="E22" s="27"/>
      <c r="F22" s="17"/>
      <c r="G22" s="17"/>
      <c r="H22" s="17"/>
      <c r="I22" s="17"/>
      <c r="J22" s="17" t="s">
        <v>21</v>
      </c>
      <c r="K22" s="17"/>
      <c r="L22" s="17" t="s">
        <v>270</v>
      </c>
      <c r="M22" s="17"/>
      <c r="N22" s="17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</row>
    <row r="23" spans="2:145" ht="18.600000000000001" customHeight="1" x14ac:dyDescent="0.2">
      <c r="B23" s="20" t="s">
        <v>584</v>
      </c>
      <c r="C23" s="17" t="s">
        <v>215</v>
      </c>
      <c r="D23" s="17" t="s">
        <v>2109</v>
      </c>
      <c r="E23" s="27"/>
      <c r="F23" s="17"/>
      <c r="G23" s="17"/>
      <c r="H23" s="17"/>
      <c r="I23" s="17"/>
      <c r="J23" s="17" t="s">
        <v>21</v>
      </c>
      <c r="K23" s="17"/>
      <c r="L23" s="17" t="s">
        <v>270</v>
      </c>
      <c r="M23" s="17"/>
      <c r="N23" s="17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</row>
    <row r="24" spans="2:145" ht="18.600000000000001" customHeight="1" x14ac:dyDescent="0.2">
      <c r="B24" s="20" t="s">
        <v>2099</v>
      </c>
      <c r="C24" s="17" t="s">
        <v>215</v>
      </c>
      <c r="D24" s="17" t="s">
        <v>2110</v>
      </c>
      <c r="E24" s="27"/>
      <c r="F24" s="17"/>
      <c r="G24" s="17"/>
      <c r="H24" s="17"/>
      <c r="I24" s="17"/>
      <c r="J24" s="17" t="s">
        <v>21</v>
      </c>
      <c r="K24" s="17"/>
      <c r="L24" s="17" t="s">
        <v>270</v>
      </c>
      <c r="M24" s="17"/>
      <c r="N24" s="17"/>
      <c r="O24" s="19" t="s">
        <v>2105</v>
      </c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</row>
  </sheetData>
  <sheetProtection insertHyperlinks="0" autoFilter="0"/>
  <autoFilter ref="D4:D5"/>
  <mergeCells count="6">
    <mergeCell ref="O3:EN3"/>
    <mergeCell ref="B1:E1"/>
    <mergeCell ref="C3:E3"/>
    <mergeCell ref="F3:G3"/>
    <mergeCell ref="H3:I3"/>
    <mergeCell ref="J3:M3"/>
  </mergeCells>
  <phoneticPr fontId="0" type="noConversion"/>
  <pageMargins left="0.75" right="0.75" top="1" bottom="1" header="0.5" footer="0.5"/>
  <pageSetup orientation="landscape" verticalDpi="4294967293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outlinePr summaryBelow="0" summaryRight="0"/>
  </sheetPr>
  <dimension ref="A1:G39"/>
  <sheetViews>
    <sheetView workbookViewId="0"/>
  </sheetViews>
  <sheetFormatPr defaultRowHeight="12.75" x14ac:dyDescent="0.2"/>
  <cols>
    <col min="2" max="2" width="20.5703125" bestFit="1" customWidth="1"/>
    <col min="3" max="3" width="9.140625" style="6"/>
    <col min="4" max="4" width="15.42578125" bestFit="1" customWidth="1"/>
  </cols>
  <sheetData>
    <row r="1" spans="1:4" x14ac:dyDescent="0.2">
      <c r="A1" t="s">
        <v>2332</v>
      </c>
    </row>
    <row r="3" spans="1:4" x14ac:dyDescent="0.2">
      <c r="B3" s="5" t="s">
        <v>2333</v>
      </c>
      <c r="D3" t="s">
        <v>2343</v>
      </c>
    </row>
    <row r="4" spans="1:4" x14ac:dyDescent="0.2">
      <c r="B4" s="5" t="s">
        <v>2334</v>
      </c>
      <c r="D4" t="s">
        <v>2344</v>
      </c>
    </row>
    <row r="5" spans="1:4" x14ac:dyDescent="0.2">
      <c r="B5" s="5" t="s">
        <v>2335</v>
      </c>
      <c r="D5" s="3">
        <v>43766.630555555559</v>
      </c>
    </row>
    <row r="6" spans="1:4" x14ac:dyDescent="0.2">
      <c r="B6" s="5" t="s">
        <v>2336</v>
      </c>
      <c r="D6" t="s">
        <v>2345</v>
      </c>
    </row>
    <row r="7" spans="1:4" x14ac:dyDescent="0.2">
      <c r="B7" s="5" t="s">
        <v>2337</v>
      </c>
      <c r="D7" t="s">
        <v>2346</v>
      </c>
    </row>
    <row r="8" spans="1:4" x14ac:dyDescent="0.2">
      <c r="B8" s="5" t="s">
        <v>2338</v>
      </c>
      <c r="D8" t="s">
        <v>2347</v>
      </c>
    </row>
    <row r="9" spans="1:4" x14ac:dyDescent="0.2">
      <c r="B9" s="5" t="s">
        <v>2339</v>
      </c>
      <c r="D9" t="s">
        <v>2348</v>
      </c>
    </row>
    <row r="10" spans="1:4" x14ac:dyDescent="0.2">
      <c r="B10" s="5" t="s">
        <v>2340</v>
      </c>
      <c r="D10" t="s">
        <v>2349</v>
      </c>
    </row>
    <row r="11" spans="1:4" x14ac:dyDescent="0.2">
      <c r="B11" s="5" t="s">
        <v>10</v>
      </c>
      <c r="D11" t="s">
        <v>2350</v>
      </c>
    </row>
    <row r="12" spans="1:4" x14ac:dyDescent="0.2">
      <c r="B12" s="5" t="s">
        <v>211</v>
      </c>
      <c r="D12" t="s">
        <v>2351</v>
      </c>
    </row>
    <row r="13" spans="1:4" x14ac:dyDescent="0.2">
      <c r="B13" s="5" t="s">
        <v>90</v>
      </c>
    </row>
    <row r="14" spans="1:4" x14ac:dyDescent="0.2">
      <c r="B14" s="5" t="s">
        <v>2341</v>
      </c>
    </row>
    <row r="15" spans="1:4" x14ac:dyDescent="0.2">
      <c r="B15" s="5" t="s">
        <v>87</v>
      </c>
      <c r="D15" s="4">
        <v>28</v>
      </c>
    </row>
    <row r="18" spans="2:7" x14ac:dyDescent="0.2">
      <c r="B18" s="5" t="s">
        <v>2342</v>
      </c>
      <c r="C18" s="7"/>
      <c r="D18" s="5">
        <v>235.61394165420873</v>
      </c>
    </row>
    <row r="20" spans="2:7" x14ac:dyDescent="0.2">
      <c r="B20" t="s">
        <v>2352</v>
      </c>
      <c r="C20" s="6" t="s">
        <v>2353</v>
      </c>
      <c r="D20" s="6" t="s">
        <v>2354</v>
      </c>
      <c r="E20" s="6" t="s">
        <v>2355</v>
      </c>
      <c r="F20" s="6" t="s">
        <v>2356</v>
      </c>
      <c r="G20" s="6" t="s">
        <v>2357</v>
      </c>
    </row>
    <row r="21" spans="2:7" x14ac:dyDescent="0.2">
      <c r="B21" t="s">
        <v>2358</v>
      </c>
      <c r="C21" s="6">
        <v>0</v>
      </c>
      <c r="D21">
        <v>2.3542334764865513E-2</v>
      </c>
      <c r="E21">
        <v>0</v>
      </c>
      <c r="F21">
        <v>0</v>
      </c>
      <c r="G21">
        <v>0</v>
      </c>
    </row>
    <row r="22" spans="2:7" x14ac:dyDescent="0.2">
      <c r="B22" t="s">
        <v>610</v>
      </c>
      <c r="C22" s="6">
        <v>5</v>
      </c>
      <c r="D22">
        <v>2.2895703536924385E-3</v>
      </c>
      <c r="E22">
        <v>0</v>
      </c>
      <c r="F22">
        <v>0</v>
      </c>
      <c r="G22">
        <v>0</v>
      </c>
    </row>
    <row r="23" spans="2:7" x14ac:dyDescent="0.2">
      <c r="B23" t="s">
        <v>616</v>
      </c>
      <c r="C23" s="6">
        <v>6</v>
      </c>
      <c r="D23">
        <v>8.3671066696933145E-6</v>
      </c>
      <c r="E23">
        <v>0</v>
      </c>
      <c r="F23">
        <v>0</v>
      </c>
      <c r="G23">
        <v>0</v>
      </c>
    </row>
    <row r="24" spans="2:7" x14ac:dyDescent="0.2">
      <c r="B24" t="s">
        <v>616</v>
      </c>
      <c r="C24" s="6">
        <v>8</v>
      </c>
      <c r="D24">
        <v>8.3671085171044275E-6</v>
      </c>
      <c r="E24">
        <v>0</v>
      </c>
      <c r="F24">
        <v>0</v>
      </c>
      <c r="G24">
        <v>0</v>
      </c>
    </row>
    <row r="25" spans="2:7" x14ac:dyDescent="0.2">
      <c r="B25" t="s">
        <v>553</v>
      </c>
      <c r="C25" s="6">
        <v>13</v>
      </c>
      <c r="D25">
        <v>7.6778601355018197E-2</v>
      </c>
      <c r="E25">
        <v>0</v>
      </c>
      <c r="F25">
        <v>0</v>
      </c>
      <c r="G25">
        <v>0</v>
      </c>
    </row>
    <row r="26" spans="2:7" x14ac:dyDescent="0.2">
      <c r="B26" t="s">
        <v>554</v>
      </c>
      <c r="C26" s="6">
        <v>35</v>
      </c>
      <c r="D26">
        <v>1.5553457732078568E-2</v>
      </c>
      <c r="E26">
        <v>0</v>
      </c>
      <c r="F26">
        <v>0</v>
      </c>
      <c r="G26">
        <v>0</v>
      </c>
    </row>
    <row r="27" spans="2:7" x14ac:dyDescent="0.2">
      <c r="B27" t="s">
        <v>557</v>
      </c>
      <c r="C27" s="6">
        <v>38</v>
      </c>
      <c r="D27">
        <v>234.83427493880231</v>
      </c>
      <c r="E27">
        <v>0</v>
      </c>
      <c r="F27">
        <v>0</v>
      </c>
      <c r="G27">
        <v>0</v>
      </c>
    </row>
    <row r="28" spans="2:7" x14ac:dyDescent="0.2">
      <c r="B28" t="s">
        <v>616</v>
      </c>
      <c r="C28" s="6">
        <v>42</v>
      </c>
      <c r="D28">
        <v>1.1477557737959999E-5</v>
      </c>
      <c r="E28">
        <v>0</v>
      </c>
      <c r="F28">
        <v>0</v>
      </c>
      <c r="G28">
        <v>0</v>
      </c>
    </row>
    <row r="29" spans="2:7" x14ac:dyDescent="0.2">
      <c r="B29" t="s">
        <v>616</v>
      </c>
      <c r="C29" s="6">
        <v>45</v>
      </c>
      <c r="D29">
        <v>1.2410692482545117E-5</v>
      </c>
      <c r="E29">
        <v>0</v>
      </c>
      <c r="F29">
        <v>0</v>
      </c>
      <c r="G29">
        <v>0</v>
      </c>
    </row>
    <row r="30" spans="2:7" x14ac:dyDescent="0.2">
      <c r="B30" t="s">
        <v>616</v>
      </c>
      <c r="C30" s="6">
        <v>48</v>
      </c>
      <c r="D30">
        <v>1.147755562409536E-5</v>
      </c>
      <c r="E30">
        <v>0</v>
      </c>
      <c r="F30">
        <v>0</v>
      </c>
      <c r="G30">
        <v>0</v>
      </c>
    </row>
    <row r="31" spans="2:7" x14ac:dyDescent="0.2">
      <c r="B31" t="s">
        <v>616</v>
      </c>
      <c r="C31" s="6">
        <v>57</v>
      </c>
      <c r="D31">
        <v>7.1229296700447973E-6</v>
      </c>
      <c r="E31">
        <v>0</v>
      </c>
      <c r="F31">
        <v>0</v>
      </c>
      <c r="G31">
        <v>0</v>
      </c>
    </row>
    <row r="32" spans="2:7" x14ac:dyDescent="0.2">
      <c r="B32" t="s">
        <v>616</v>
      </c>
      <c r="C32" s="6">
        <v>62</v>
      </c>
      <c r="D32">
        <v>2.4230398693658729E-5</v>
      </c>
      <c r="E32">
        <v>0</v>
      </c>
      <c r="F32">
        <v>0</v>
      </c>
      <c r="G32">
        <v>0</v>
      </c>
    </row>
    <row r="33" spans="2:7" x14ac:dyDescent="0.2">
      <c r="B33" t="s">
        <v>571</v>
      </c>
      <c r="C33" s="6">
        <v>65</v>
      </c>
      <c r="D33">
        <v>0.48758741139158696</v>
      </c>
      <c r="E33">
        <v>0</v>
      </c>
      <c r="F33">
        <v>0</v>
      </c>
      <c r="G33">
        <v>0</v>
      </c>
    </row>
    <row r="34" spans="2:7" x14ac:dyDescent="0.2">
      <c r="B34" t="s">
        <v>575</v>
      </c>
      <c r="C34" s="6">
        <v>84</v>
      </c>
      <c r="D34">
        <v>0.10744949408617539</v>
      </c>
      <c r="E34">
        <v>0</v>
      </c>
      <c r="F34">
        <v>0</v>
      </c>
      <c r="G34">
        <v>0</v>
      </c>
    </row>
    <row r="35" spans="2:7" x14ac:dyDescent="0.2">
      <c r="B35" t="s">
        <v>616</v>
      </c>
      <c r="C35" s="6">
        <v>97</v>
      </c>
      <c r="D35">
        <v>1.272173721917902E-5</v>
      </c>
      <c r="E35">
        <v>0</v>
      </c>
      <c r="F35">
        <v>0</v>
      </c>
      <c r="G35">
        <v>0</v>
      </c>
    </row>
    <row r="36" spans="2:7" x14ac:dyDescent="0.2">
      <c r="B36" t="s">
        <v>616</v>
      </c>
      <c r="C36" s="6">
        <v>98</v>
      </c>
      <c r="D36">
        <v>1.0855467657178153E-5</v>
      </c>
      <c r="E36">
        <v>0</v>
      </c>
      <c r="F36">
        <v>0</v>
      </c>
      <c r="G36">
        <v>0</v>
      </c>
    </row>
    <row r="37" spans="2:7" x14ac:dyDescent="0.2">
      <c r="B37" t="s">
        <v>608</v>
      </c>
      <c r="C37" s="6">
        <v>99</v>
      </c>
      <c r="D37">
        <v>2.1742038793304275E-5</v>
      </c>
      <c r="E37">
        <v>0</v>
      </c>
      <c r="F37">
        <v>0</v>
      </c>
      <c r="G37">
        <v>0</v>
      </c>
    </row>
    <row r="38" spans="2:7" x14ac:dyDescent="0.2">
      <c r="B38" t="s">
        <v>609</v>
      </c>
      <c r="C38" s="6">
        <v>100</v>
      </c>
      <c r="D38">
        <v>1.0491233205964345E-3</v>
      </c>
      <c r="E38">
        <v>0</v>
      </c>
      <c r="F38">
        <v>0</v>
      </c>
      <c r="G38">
        <v>0</v>
      </c>
    </row>
    <row r="39" spans="2:7" x14ac:dyDescent="0.2">
      <c r="B39" t="s">
        <v>2359</v>
      </c>
      <c r="C39" s="6">
        <v>9998</v>
      </c>
      <c r="D39">
        <v>1.3201336250093076E-2</v>
      </c>
      <c r="E39">
        <v>0</v>
      </c>
      <c r="F39">
        <v>0</v>
      </c>
      <c r="G39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136"/>
  <sheetViews>
    <sheetView workbookViewId="0">
      <selection activeCell="M45" sqref="M45"/>
    </sheetView>
  </sheetViews>
  <sheetFormatPr defaultRowHeight="12.75" x14ac:dyDescent="0.2"/>
  <sheetData>
    <row r="1" spans="1:29" x14ac:dyDescent="0.2">
      <c r="A1" s="1"/>
      <c r="B1" s="1" t="s">
        <v>2328</v>
      </c>
      <c r="C1" s="1" t="s">
        <v>2328</v>
      </c>
      <c r="D1" s="1" t="s">
        <v>2328</v>
      </c>
      <c r="E1" s="1" t="s">
        <v>2328</v>
      </c>
      <c r="F1" s="1" t="s">
        <v>2328</v>
      </c>
      <c r="G1" s="1" t="s">
        <v>2328</v>
      </c>
      <c r="H1" s="1" t="s">
        <v>2328</v>
      </c>
      <c r="I1" s="1" t="s">
        <v>2328</v>
      </c>
      <c r="J1" s="1" t="s">
        <v>2328</v>
      </c>
      <c r="K1" s="1" t="s">
        <v>2328</v>
      </c>
      <c r="L1" s="1" t="s">
        <v>2328</v>
      </c>
      <c r="M1" s="1" t="s">
        <v>2328</v>
      </c>
      <c r="N1" s="1" t="s">
        <v>2328</v>
      </c>
      <c r="O1" s="1" t="s">
        <v>2328</v>
      </c>
      <c r="P1" s="1" t="s">
        <v>2328</v>
      </c>
      <c r="Q1" s="1" t="s">
        <v>2328</v>
      </c>
      <c r="R1" s="1" t="s">
        <v>2328</v>
      </c>
      <c r="S1" s="1" t="s">
        <v>2328</v>
      </c>
      <c r="T1" s="1" t="s">
        <v>2328</v>
      </c>
      <c r="U1" s="1" t="s">
        <v>2328</v>
      </c>
      <c r="V1" s="1" t="s">
        <v>2328</v>
      </c>
      <c r="W1" s="1" t="s">
        <v>2328</v>
      </c>
      <c r="X1" s="1" t="s">
        <v>2328</v>
      </c>
      <c r="Y1" s="1" t="s">
        <v>2328</v>
      </c>
      <c r="Z1" s="1" t="s">
        <v>2328</v>
      </c>
      <c r="AA1" s="1" t="s">
        <v>2328</v>
      </c>
      <c r="AB1" s="1" t="s">
        <v>2328</v>
      </c>
      <c r="AC1" s="1" t="s">
        <v>2328</v>
      </c>
    </row>
    <row r="2" spans="1:29" x14ac:dyDescent="0.2">
      <c r="A2" s="1" t="s">
        <v>394</v>
      </c>
      <c r="B2" s="1">
        <v>7750.83</v>
      </c>
      <c r="C2" s="1">
        <v>7797.15</v>
      </c>
      <c r="D2" s="1">
        <v>7830.49</v>
      </c>
      <c r="E2" s="1">
        <v>8660.2999999999993</v>
      </c>
      <c r="F2" s="1">
        <v>8736.51</v>
      </c>
      <c r="G2" s="1">
        <v>8087.82</v>
      </c>
      <c r="H2" s="1">
        <v>7225.3</v>
      </c>
      <c r="I2" s="1">
        <v>7485.11</v>
      </c>
      <c r="J2" s="1">
        <v>7211.11</v>
      </c>
      <c r="K2" s="1">
        <v>7293.97</v>
      </c>
      <c r="L2" s="1">
        <v>8622.7199999999993</v>
      </c>
      <c r="M2" s="1">
        <v>7255.4</v>
      </c>
      <c r="N2" s="1">
        <v>7293.78</v>
      </c>
      <c r="O2" s="1">
        <v>7295.28</v>
      </c>
      <c r="P2" s="1">
        <v>7361.77</v>
      </c>
      <c r="Q2" s="1">
        <v>7191.89</v>
      </c>
      <c r="R2" s="1">
        <v>8082.18</v>
      </c>
      <c r="S2" s="1">
        <v>8857.8700000000008</v>
      </c>
      <c r="T2" s="1">
        <v>7549.19</v>
      </c>
      <c r="U2" s="1">
        <v>7305.92</v>
      </c>
      <c r="V2" s="1">
        <v>7226.71</v>
      </c>
      <c r="W2" s="1">
        <v>7820.97</v>
      </c>
      <c r="X2" s="1">
        <v>7838.1</v>
      </c>
      <c r="Y2" s="1">
        <v>7375.21</v>
      </c>
      <c r="Z2" s="1">
        <v>8541.2999999999993</v>
      </c>
      <c r="AA2" s="1">
        <v>8165.78</v>
      </c>
      <c r="AB2" s="1">
        <v>7237.6</v>
      </c>
      <c r="AC2" s="1">
        <v>7260.72</v>
      </c>
    </row>
    <row r="3" spans="1:29" x14ac:dyDescent="0.2">
      <c r="A3" s="1" t="s">
        <v>393</v>
      </c>
      <c r="B3" s="1">
        <v>7612.77</v>
      </c>
      <c r="C3" s="1">
        <v>7434.14</v>
      </c>
      <c r="D3" s="1">
        <v>7960.2</v>
      </c>
      <c r="E3" s="1">
        <v>9261.31</v>
      </c>
      <c r="F3" s="1">
        <v>7993.4</v>
      </c>
      <c r="G3" s="1">
        <v>7648.35</v>
      </c>
      <c r="H3" s="1">
        <v>7485.2</v>
      </c>
      <c r="I3" s="1">
        <v>7304.87</v>
      </c>
      <c r="J3" s="1">
        <v>7465.49</v>
      </c>
      <c r="K3" s="1">
        <v>7375.88</v>
      </c>
      <c r="L3" s="1">
        <v>8352.02</v>
      </c>
      <c r="M3" s="1">
        <v>7237.48</v>
      </c>
      <c r="N3" s="1">
        <v>7200.28</v>
      </c>
      <c r="O3" s="1">
        <v>7293.43</v>
      </c>
      <c r="P3" s="1">
        <v>7347.85</v>
      </c>
      <c r="Q3" s="1">
        <v>7198.12</v>
      </c>
      <c r="R3" s="1">
        <v>8944.0499999999993</v>
      </c>
      <c r="S3" s="1">
        <v>7820.03</v>
      </c>
      <c r="T3" s="1">
        <v>7409.39</v>
      </c>
      <c r="U3" s="1">
        <v>7273.66</v>
      </c>
      <c r="V3" s="1">
        <v>7276.37</v>
      </c>
      <c r="W3" s="1">
        <v>7879.33</v>
      </c>
      <c r="X3" s="1">
        <v>7948.34</v>
      </c>
      <c r="Y3" s="1">
        <v>7480.83</v>
      </c>
      <c r="Z3" s="1">
        <v>9096.73</v>
      </c>
      <c r="AA3" s="1">
        <v>8243.11</v>
      </c>
      <c r="AB3" s="1">
        <v>7604.22</v>
      </c>
      <c r="AC3" s="1">
        <v>7248.84</v>
      </c>
    </row>
    <row r="4" spans="1:29" x14ac:dyDescent="0.2">
      <c r="A4" s="1" t="s">
        <v>395</v>
      </c>
      <c r="B4" s="1">
        <v>9374.43</v>
      </c>
      <c r="C4" s="1">
        <v>9370.4599999999991</v>
      </c>
      <c r="D4" s="1">
        <v>9372.0499999999993</v>
      </c>
      <c r="E4" s="1">
        <v>9370.1299999999992</v>
      </c>
      <c r="F4" s="1">
        <v>9375.4500000000007</v>
      </c>
      <c r="G4" s="1">
        <v>9373.4</v>
      </c>
      <c r="H4" s="1">
        <v>9377.91</v>
      </c>
      <c r="I4" s="1">
        <v>9369.11</v>
      </c>
      <c r="J4" s="1">
        <v>9372.06</v>
      </c>
      <c r="K4" s="1">
        <v>9377.07</v>
      </c>
      <c r="L4" s="1">
        <v>9369.59</v>
      </c>
      <c r="M4" s="1">
        <v>9368.6299999999992</v>
      </c>
      <c r="N4" s="1">
        <v>9374.48</v>
      </c>
      <c r="O4" s="1">
        <v>9376.3799999999992</v>
      </c>
      <c r="P4" s="1">
        <v>9368.4699999999993</v>
      </c>
      <c r="Q4" s="1">
        <v>9372.7000000000007</v>
      </c>
      <c r="R4" s="1">
        <v>9377.19</v>
      </c>
      <c r="S4" s="1">
        <v>9370.7199999999993</v>
      </c>
      <c r="T4" s="1">
        <v>9374.09</v>
      </c>
      <c r="U4" s="1">
        <v>9370.25</v>
      </c>
      <c r="V4" s="1">
        <v>9376.99</v>
      </c>
      <c r="W4" s="1">
        <v>9376.69</v>
      </c>
      <c r="X4" s="1">
        <v>9371.5400000000009</v>
      </c>
      <c r="Y4" s="1">
        <v>9377.2999999999993</v>
      </c>
      <c r="Z4" s="1">
        <v>9369.17</v>
      </c>
      <c r="AA4" s="1">
        <v>9375.2800000000007</v>
      </c>
      <c r="AB4" s="1">
        <v>9375.9599999999991</v>
      </c>
      <c r="AC4" s="1">
        <v>9376.2000000000007</v>
      </c>
    </row>
    <row r="5" spans="1:29" x14ac:dyDescent="0.2">
      <c r="A5" s="1" t="s">
        <v>398</v>
      </c>
      <c r="B5" s="1">
        <v>9377.5300000000007</v>
      </c>
      <c r="C5" s="1">
        <v>9373.73</v>
      </c>
      <c r="D5" s="1">
        <v>9368.58</v>
      </c>
      <c r="E5" s="1">
        <v>9375.7999999999993</v>
      </c>
      <c r="F5" s="1">
        <v>9371.86</v>
      </c>
      <c r="G5" s="1">
        <v>9372.7199999999993</v>
      </c>
      <c r="H5" s="1">
        <v>9373.91</v>
      </c>
      <c r="I5" s="1">
        <v>9376.5</v>
      </c>
      <c r="J5" s="1">
        <v>9373.57</v>
      </c>
      <c r="K5" s="1">
        <v>9368.4</v>
      </c>
      <c r="L5" s="1">
        <v>9370.02</v>
      </c>
      <c r="M5" s="1">
        <v>9372.08</v>
      </c>
      <c r="N5" s="1">
        <v>9371.9500000000007</v>
      </c>
      <c r="O5" s="1">
        <v>9368.23</v>
      </c>
      <c r="P5" s="1">
        <v>9370.44</v>
      </c>
      <c r="Q5" s="1">
        <v>9374.25</v>
      </c>
      <c r="R5" s="1">
        <v>9376.1</v>
      </c>
      <c r="S5" s="1">
        <v>9368.99</v>
      </c>
      <c r="T5" s="1">
        <v>9372.33</v>
      </c>
      <c r="U5" s="1">
        <v>9376.8700000000008</v>
      </c>
      <c r="V5" s="1">
        <v>9369.5499999999993</v>
      </c>
      <c r="W5" s="1">
        <v>9369.7800000000007</v>
      </c>
      <c r="X5" s="1">
        <v>9373.2099999999991</v>
      </c>
      <c r="Y5" s="1">
        <v>9377.73</v>
      </c>
      <c r="Z5" s="1">
        <v>9369.4599999999991</v>
      </c>
      <c r="AA5" s="1">
        <v>9368.7999999999993</v>
      </c>
      <c r="AB5" s="1">
        <v>9368.4</v>
      </c>
      <c r="AC5" s="1">
        <v>9371.08</v>
      </c>
    </row>
    <row r="6" spans="1:29" x14ac:dyDescent="0.2">
      <c r="A6" s="1" t="s">
        <v>397</v>
      </c>
      <c r="B6" s="1">
        <v>9372.91</v>
      </c>
      <c r="C6" s="1">
        <v>9376.32</v>
      </c>
      <c r="D6" s="1">
        <v>9372.43</v>
      </c>
      <c r="E6" s="1">
        <v>9377.4699999999993</v>
      </c>
      <c r="F6" s="1">
        <v>9368.0400000000009</v>
      </c>
      <c r="G6" s="1">
        <v>9376.2000000000007</v>
      </c>
      <c r="H6" s="1">
        <v>9372.7999999999993</v>
      </c>
      <c r="I6" s="1">
        <v>9377.64</v>
      </c>
      <c r="J6" s="1">
        <v>9375.8700000000008</v>
      </c>
      <c r="K6" s="1">
        <v>9376.6299999999992</v>
      </c>
      <c r="L6" s="1">
        <v>9373.75</v>
      </c>
      <c r="M6" s="1">
        <v>9372.09</v>
      </c>
      <c r="N6" s="1">
        <v>9372.74</v>
      </c>
      <c r="O6" s="1">
        <v>9377.51</v>
      </c>
      <c r="P6" s="1">
        <v>9373.6</v>
      </c>
      <c r="Q6" s="1">
        <v>9368.34</v>
      </c>
      <c r="R6" s="1">
        <v>9377.01</v>
      </c>
      <c r="S6" s="1">
        <v>9374.67</v>
      </c>
      <c r="T6" s="1">
        <v>9369.94</v>
      </c>
      <c r="U6" s="1">
        <v>9377.9699999999993</v>
      </c>
      <c r="V6" s="1">
        <v>9371.5499999999993</v>
      </c>
      <c r="W6" s="1">
        <v>9369.16</v>
      </c>
      <c r="X6" s="1">
        <v>9377.91</v>
      </c>
      <c r="Y6" s="1">
        <v>9375.42</v>
      </c>
      <c r="Z6" s="1">
        <v>9371.5499999999993</v>
      </c>
      <c r="AA6" s="1">
        <v>9375.83</v>
      </c>
      <c r="AB6" s="1">
        <v>9377.94</v>
      </c>
      <c r="AC6" s="1">
        <v>9373.73</v>
      </c>
    </row>
    <row r="7" spans="1:29" x14ac:dyDescent="0.2">
      <c r="A7" s="1" t="s">
        <v>390</v>
      </c>
      <c r="B7" s="1">
        <v>9373.2099999999991</v>
      </c>
      <c r="C7" s="1">
        <v>9368.4</v>
      </c>
      <c r="D7" s="1">
        <v>9374.84</v>
      </c>
      <c r="E7" s="1">
        <v>9373.99</v>
      </c>
      <c r="F7" s="1">
        <v>9373.23</v>
      </c>
      <c r="G7" s="1">
        <v>9369.48</v>
      </c>
      <c r="H7" s="1">
        <v>9368.35</v>
      </c>
      <c r="I7" s="1">
        <v>9371.43</v>
      </c>
      <c r="J7" s="1">
        <v>9368.7000000000007</v>
      </c>
      <c r="K7" s="1">
        <v>9373.93</v>
      </c>
      <c r="L7" s="1">
        <v>9373.9699999999993</v>
      </c>
      <c r="M7" s="1">
        <v>9372.19</v>
      </c>
      <c r="N7" s="1">
        <v>9376.34</v>
      </c>
      <c r="O7" s="1">
        <v>9370.3700000000008</v>
      </c>
      <c r="P7" s="1">
        <v>9376.08</v>
      </c>
      <c r="Q7" s="1">
        <v>9377.86</v>
      </c>
      <c r="R7" s="1">
        <v>9370.94</v>
      </c>
      <c r="S7" s="1">
        <v>9377.17</v>
      </c>
      <c r="T7" s="1">
        <v>9373.08</v>
      </c>
      <c r="U7" s="1">
        <v>9376.76</v>
      </c>
      <c r="V7" s="1">
        <v>9371.2000000000007</v>
      </c>
      <c r="W7" s="1">
        <v>9370.33</v>
      </c>
      <c r="X7" s="1">
        <v>9372.23</v>
      </c>
      <c r="Y7" s="1">
        <v>9373.4</v>
      </c>
      <c r="Z7" s="1">
        <v>9370.48</v>
      </c>
      <c r="AA7" s="1">
        <v>9370.2099999999991</v>
      </c>
      <c r="AB7" s="1">
        <v>9372.86</v>
      </c>
      <c r="AC7" s="1">
        <v>9375.76</v>
      </c>
    </row>
    <row r="8" spans="1:29" x14ac:dyDescent="0.2">
      <c r="A8" s="1" t="s">
        <v>391</v>
      </c>
      <c r="B8" s="1">
        <v>9372.49</v>
      </c>
      <c r="C8" s="1">
        <v>9374.8700000000008</v>
      </c>
      <c r="D8" s="1">
        <v>9372.31</v>
      </c>
      <c r="E8" s="1">
        <v>9371.98</v>
      </c>
      <c r="F8" s="1">
        <v>9368.5300000000007</v>
      </c>
      <c r="G8" s="1">
        <v>9368.9599999999991</v>
      </c>
      <c r="H8" s="1">
        <v>9374.83</v>
      </c>
      <c r="I8" s="1">
        <v>9374.14</v>
      </c>
      <c r="J8" s="1">
        <v>9376.64</v>
      </c>
      <c r="K8" s="1">
        <v>9371.23</v>
      </c>
      <c r="L8" s="1">
        <v>9376.8700000000008</v>
      </c>
      <c r="M8" s="1">
        <v>9369.7999999999993</v>
      </c>
      <c r="N8" s="1">
        <v>9370.2199999999993</v>
      </c>
      <c r="O8" s="1">
        <v>9374.77</v>
      </c>
      <c r="P8" s="1">
        <v>9373.84</v>
      </c>
      <c r="Q8" s="1">
        <v>9377.58</v>
      </c>
      <c r="R8" s="1">
        <v>9370.56</v>
      </c>
      <c r="S8" s="1">
        <v>9377.52</v>
      </c>
      <c r="T8" s="1">
        <v>9375.8700000000008</v>
      </c>
      <c r="U8" s="1">
        <v>9371.2099999999991</v>
      </c>
      <c r="V8" s="1">
        <v>9373.4599999999991</v>
      </c>
      <c r="W8" s="1">
        <v>9368.7999999999993</v>
      </c>
      <c r="X8" s="1">
        <v>9369.7800000000007</v>
      </c>
      <c r="Y8" s="1">
        <v>9377.75</v>
      </c>
      <c r="Z8" s="1">
        <v>9377.07</v>
      </c>
      <c r="AA8" s="1">
        <v>9368.0400000000009</v>
      </c>
      <c r="AB8" s="1">
        <v>9372.0400000000009</v>
      </c>
      <c r="AC8" s="1">
        <v>9370.83</v>
      </c>
    </row>
    <row r="9" spans="1:29" x14ac:dyDescent="0.2">
      <c r="A9" s="1" t="s">
        <v>392</v>
      </c>
      <c r="B9" s="1">
        <v>9235.41</v>
      </c>
      <c r="C9" s="1">
        <v>7194.55</v>
      </c>
      <c r="D9" s="1">
        <v>7220.97</v>
      </c>
      <c r="E9" s="1">
        <v>8390.24</v>
      </c>
      <c r="F9" s="1">
        <v>8020.33</v>
      </c>
      <c r="G9" s="1">
        <v>9296.2999999999993</v>
      </c>
      <c r="H9" s="1">
        <v>7630.01</v>
      </c>
      <c r="I9" s="1">
        <v>7510.85</v>
      </c>
      <c r="J9" s="1">
        <v>8881.02</v>
      </c>
      <c r="K9" s="1">
        <v>7348.51</v>
      </c>
      <c r="L9" s="1">
        <v>8404.77</v>
      </c>
      <c r="M9" s="1">
        <v>7217.14</v>
      </c>
      <c r="N9" s="1">
        <v>7298.37</v>
      </c>
      <c r="O9" s="1">
        <v>7615.75</v>
      </c>
      <c r="P9" s="1">
        <v>7252.52</v>
      </c>
      <c r="Q9" s="1">
        <v>8560.75</v>
      </c>
      <c r="R9" s="1">
        <v>9137.81</v>
      </c>
      <c r="S9" s="1">
        <v>8370.52</v>
      </c>
      <c r="T9" s="1">
        <v>9046.7800000000007</v>
      </c>
      <c r="U9" s="1">
        <v>8858.15</v>
      </c>
      <c r="V9" s="1">
        <v>7502.75</v>
      </c>
      <c r="W9" s="1">
        <v>7229.73</v>
      </c>
      <c r="X9" s="1">
        <v>7204.82</v>
      </c>
      <c r="Y9" s="1">
        <v>9013.74</v>
      </c>
      <c r="Z9" s="1">
        <v>8739.7000000000007</v>
      </c>
      <c r="AA9" s="1">
        <v>8984.57</v>
      </c>
      <c r="AB9" s="1">
        <v>8889.69</v>
      </c>
      <c r="AC9" s="1">
        <v>7505.32</v>
      </c>
    </row>
    <row r="10" spans="1:29" x14ac:dyDescent="0.2">
      <c r="A10" s="1" t="s">
        <v>396</v>
      </c>
      <c r="B10" s="1">
        <v>9368.5400000000009</v>
      </c>
      <c r="C10" s="1">
        <v>9376.76</v>
      </c>
      <c r="D10" s="1">
        <v>9372.7999999999993</v>
      </c>
      <c r="E10" s="1">
        <v>9374.7099999999991</v>
      </c>
      <c r="F10" s="1">
        <v>9369.58</v>
      </c>
      <c r="G10" s="1">
        <v>9369</v>
      </c>
      <c r="H10" s="1">
        <v>9375.99</v>
      </c>
      <c r="I10" s="1">
        <v>9371.0300000000007</v>
      </c>
      <c r="J10" s="1">
        <v>9368.6299999999992</v>
      </c>
      <c r="K10" s="1">
        <v>9374.82</v>
      </c>
      <c r="L10" s="1">
        <v>9369.3799999999992</v>
      </c>
      <c r="M10" s="1">
        <v>9368.4</v>
      </c>
      <c r="N10" s="1">
        <v>9370.86</v>
      </c>
      <c r="O10" s="1">
        <v>9376.82</v>
      </c>
      <c r="P10" s="1">
        <v>9375.23</v>
      </c>
      <c r="Q10" s="1">
        <v>9372.17</v>
      </c>
      <c r="R10" s="1">
        <v>9370.4699999999993</v>
      </c>
      <c r="S10" s="1">
        <v>9368.8700000000008</v>
      </c>
      <c r="T10" s="1">
        <v>9376.5300000000007</v>
      </c>
      <c r="U10" s="1">
        <v>9370.69</v>
      </c>
      <c r="V10" s="1">
        <v>9370.76</v>
      </c>
      <c r="W10" s="1">
        <v>9371.69</v>
      </c>
      <c r="X10" s="1">
        <v>9368.86</v>
      </c>
      <c r="Y10" s="1">
        <v>9377.61</v>
      </c>
      <c r="Z10" s="1">
        <v>9371.33</v>
      </c>
      <c r="AA10" s="1">
        <v>9372.7999999999993</v>
      </c>
      <c r="AB10" s="1">
        <v>9374.33</v>
      </c>
      <c r="AC10" s="1">
        <v>9368.42</v>
      </c>
    </row>
    <row r="11" spans="1:29" x14ac:dyDescent="0.2">
      <c r="A11" s="1" t="s">
        <v>389</v>
      </c>
      <c r="B11" s="1">
        <v>9370.1200000000008</v>
      </c>
      <c r="C11" s="1">
        <v>9369.2199999999993</v>
      </c>
      <c r="D11" s="1">
        <v>9373.5</v>
      </c>
      <c r="E11" s="1">
        <v>9372.52</v>
      </c>
      <c r="F11" s="1">
        <v>9377.85</v>
      </c>
      <c r="G11" s="1">
        <v>9372.52</v>
      </c>
      <c r="H11" s="1">
        <v>9375.51</v>
      </c>
      <c r="I11" s="1">
        <v>9372.93</v>
      </c>
      <c r="J11" s="1">
        <v>9372.94</v>
      </c>
      <c r="K11" s="1">
        <v>9368.0300000000007</v>
      </c>
      <c r="L11" s="1">
        <v>9376.98</v>
      </c>
      <c r="M11" s="1">
        <v>9373.8700000000008</v>
      </c>
      <c r="N11" s="1">
        <v>9372.31</v>
      </c>
      <c r="O11" s="1">
        <v>9370.99</v>
      </c>
      <c r="P11" s="1">
        <v>9373.06</v>
      </c>
      <c r="Q11" s="1">
        <v>9377.99</v>
      </c>
      <c r="R11" s="1">
        <v>9371.81</v>
      </c>
      <c r="S11" s="1">
        <v>9373.2000000000007</v>
      </c>
      <c r="T11" s="1">
        <v>9370.2000000000007</v>
      </c>
      <c r="U11" s="1">
        <v>9369.42</v>
      </c>
      <c r="V11" s="1">
        <v>9369.09</v>
      </c>
      <c r="W11" s="1">
        <v>9370.6200000000008</v>
      </c>
      <c r="X11" s="1">
        <v>9373.33</v>
      </c>
      <c r="Y11" s="1">
        <v>9372.89</v>
      </c>
      <c r="Z11" s="1">
        <v>9377.9500000000007</v>
      </c>
      <c r="AA11" s="1">
        <v>9372.58</v>
      </c>
      <c r="AB11" s="1">
        <v>9372.2099999999991</v>
      </c>
      <c r="AC11" s="1">
        <v>9368.66</v>
      </c>
    </row>
    <row r="12" spans="1:29" x14ac:dyDescent="0.2">
      <c r="A12" s="1" t="s">
        <v>387</v>
      </c>
      <c r="B12" s="1">
        <v>9377.86</v>
      </c>
      <c r="C12" s="1">
        <v>9376.41</v>
      </c>
      <c r="D12" s="1">
        <v>9375.17</v>
      </c>
      <c r="E12" s="1">
        <v>9372.25</v>
      </c>
      <c r="F12" s="1">
        <v>9369.73</v>
      </c>
      <c r="G12" s="1">
        <v>9376.91</v>
      </c>
      <c r="H12" s="1">
        <v>9369.3799999999992</v>
      </c>
      <c r="I12" s="1">
        <v>9377.44</v>
      </c>
      <c r="J12" s="1">
        <v>9374.85</v>
      </c>
      <c r="K12" s="1">
        <v>9376.8700000000008</v>
      </c>
      <c r="L12" s="1">
        <v>9377.06</v>
      </c>
      <c r="M12" s="1">
        <v>9373.99</v>
      </c>
      <c r="N12" s="1">
        <v>9375.83</v>
      </c>
      <c r="O12" s="1">
        <v>9377.9500000000007</v>
      </c>
      <c r="P12" s="1">
        <v>9375.7999999999993</v>
      </c>
      <c r="Q12" s="1">
        <v>9371.7800000000007</v>
      </c>
      <c r="R12" s="1">
        <v>9377.7999999999993</v>
      </c>
      <c r="S12" s="1">
        <v>9375.58</v>
      </c>
      <c r="T12" s="1">
        <v>9371.7000000000007</v>
      </c>
      <c r="U12" s="1">
        <v>9373.1</v>
      </c>
      <c r="V12" s="1">
        <v>9376.84</v>
      </c>
      <c r="W12" s="1">
        <v>9373.26</v>
      </c>
      <c r="X12" s="1">
        <v>9368.33</v>
      </c>
      <c r="Y12" s="1">
        <v>9371.94</v>
      </c>
      <c r="Z12" s="1">
        <v>9374.84</v>
      </c>
      <c r="AA12" s="1">
        <v>9375.74</v>
      </c>
      <c r="AB12" s="1">
        <v>9371.85</v>
      </c>
      <c r="AC12" s="1">
        <v>9371.1200000000008</v>
      </c>
    </row>
    <row r="13" spans="1:29" x14ac:dyDescent="0.2">
      <c r="A13" s="1" t="s">
        <v>388</v>
      </c>
      <c r="B13" s="1">
        <v>9368.7900000000009</v>
      </c>
      <c r="C13" s="1">
        <v>9375.99</v>
      </c>
      <c r="D13" s="1">
        <v>9374.0400000000009</v>
      </c>
      <c r="E13" s="1">
        <v>9370.0499999999993</v>
      </c>
      <c r="F13" s="1">
        <v>9369.86</v>
      </c>
      <c r="G13" s="1">
        <v>9369.0400000000009</v>
      </c>
      <c r="H13" s="1">
        <v>9371.76</v>
      </c>
      <c r="I13" s="1">
        <v>9374.85</v>
      </c>
      <c r="J13" s="1">
        <v>9370.58</v>
      </c>
      <c r="K13" s="1">
        <v>9369.31</v>
      </c>
      <c r="L13" s="1">
        <v>9368.6200000000008</v>
      </c>
      <c r="M13" s="1">
        <v>9376.4500000000007</v>
      </c>
      <c r="N13" s="1">
        <v>9370.7999999999993</v>
      </c>
      <c r="O13" s="1">
        <v>9375.85</v>
      </c>
      <c r="P13" s="1">
        <v>9377.2999999999993</v>
      </c>
      <c r="Q13" s="1">
        <v>9368.3799999999992</v>
      </c>
      <c r="R13" s="1">
        <v>9370.67</v>
      </c>
      <c r="S13" s="1">
        <v>9376.86</v>
      </c>
      <c r="T13" s="1">
        <v>9368.2099999999991</v>
      </c>
      <c r="U13" s="1">
        <v>9369.83</v>
      </c>
      <c r="V13" s="1">
        <v>9370.65</v>
      </c>
      <c r="W13" s="1">
        <v>9369.31</v>
      </c>
      <c r="X13" s="1">
        <v>9369.76</v>
      </c>
      <c r="Y13" s="1">
        <v>9372.7900000000009</v>
      </c>
      <c r="Z13" s="1">
        <v>9372.18</v>
      </c>
      <c r="AA13" s="1">
        <v>9369.7900000000009</v>
      </c>
      <c r="AB13" s="1">
        <v>9374.43</v>
      </c>
      <c r="AC13" s="1">
        <v>9368.74</v>
      </c>
    </row>
    <row r="14" spans="1:29" x14ac:dyDescent="0.2">
      <c r="A14" s="1" t="s">
        <v>385</v>
      </c>
      <c r="B14" s="1">
        <v>9371.24</v>
      </c>
      <c r="C14" s="1">
        <v>9377.76</v>
      </c>
      <c r="D14" s="1">
        <v>9373.7000000000007</v>
      </c>
      <c r="E14" s="1">
        <v>9377.2900000000009</v>
      </c>
      <c r="F14" s="1">
        <v>9369.34</v>
      </c>
      <c r="G14" s="1">
        <v>9376.5499999999993</v>
      </c>
      <c r="H14" s="1">
        <v>9376.8700000000008</v>
      </c>
      <c r="I14" s="1">
        <v>9370.42</v>
      </c>
      <c r="J14" s="1">
        <v>9372.02</v>
      </c>
      <c r="K14" s="1">
        <v>9372.17</v>
      </c>
      <c r="L14" s="1">
        <v>9371.65</v>
      </c>
      <c r="M14" s="1">
        <v>9372.0300000000007</v>
      </c>
      <c r="N14" s="1">
        <v>9369.32</v>
      </c>
      <c r="O14" s="1">
        <v>9377.7199999999993</v>
      </c>
      <c r="P14" s="1">
        <v>9377.4</v>
      </c>
      <c r="Q14" s="1">
        <v>9377.6200000000008</v>
      </c>
      <c r="R14" s="1">
        <v>9369.67</v>
      </c>
      <c r="S14" s="1">
        <v>9368.06</v>
      </c>
      <c r="T14" s="1">
        <v>9374</v>
      </c>
      <c r="U14" s="1">
        <v>9368.57</v>
      </c>
      <c r="V14" s="1">
        <v>9368.64</v>
      </c>
      <c r="W14" s="1">
        <v>9372.4699999999993</v>
      </c>
      <c r="X14" s="1">
        <v>9368.92</v>
      </c>
      <c r="Y14" s="1">
        <v>9370.9699999999993</v>
      </c>
      <c r="Z14" s="1">
        <v>9372.2199999999993</v>
      </c>
      <c r="AA14" s="1">
        <v>9375.6299999999992</v>
      </c>
      <c r="AB14" s="1">
        <v>9376.11</v>
      </c>
      <c r="AC14" s="1">
        <v>9374.9500000000007</v>
      </c>
    </row>
    <row r="15" spans="1:29" x14ac:dyDescent="0.2">
      <c r="A15" s="1" t="s">
        <v>386</v>
      </c>
      <c r="B15" s="1">
        <v>9372</v>
      </c>
      <c r="C15" s="1">
        <v>9371.43</v>
      </c>
      <c r="D15" s="1">
        <v>9372.7800000000007</v>
      </c>
      <c r="E15" s="1">
        <v>9368.6200000000008</v>
      </c>
      <c r="F15" s="1">
        <v>9370</v>
      </c>
      <c r="G15" s="1">
        <v>9370.64</v>
      </c>
      <c r="H15" s="1">
        <v>9369.65</v>
      </c>
      <c r="I15" s="1">
        <v>9372.24</v>
      </c>
      <c r="J15" s="1">
        <v>9370.11</v>
      </c>
      <c r="K15" s="1">
        <v>9377.56</v>
      </c>
      <c r="L15" s="1">
        <v>9375.4500000000007</v>
      </c>
      <c r="M15" s="1">
        <v>9368.6</v>
      </c>
      <c r="N15" s="1">
        <v>9375.36</v>
      </c>
      <c r="O15" s="1">
        <v>9374.66</v>
      </c>
      <c r="P15" s="1">
        <v>9374.02</v>
      </c>
      <c r="Q15" s="1">
        <v>9373.4599999999991</v>
      </c>
      <c r="R15" s="1">
        <v>9369.8799999999992</v>
      </c>
      <c r="S15" s="1">
        <v>9373.6299999999992</v>
      </c>
      <c r="T15" s="1">
        <v>9376.48</v>
      </c>
      <c r="U15" s="1">
        <v>9370.98</v>
      </c>
      <c r="V15" s="1">
        <v>9374.25</v>
      </c>
      <c r="W15" s="1">
        <v>9372.31</v>
      </c>
      <c r="X15" s="1">
        <v>9376.26</v>
      </c>
      <c r="Y15" s="1">
        <v>9377.08</v>
      </c>
      <c r="Z15" s="1">
        <v>9373.89</v>
      </c>
      <c r="AA15" s="1">
        <v>9376.0300000000007</v>
      </c>
      <c r="AB15" s="1">
        <v>9377.9599999999991</v>
      </c>
      <c r="AC15" s="1">
        <v>9374.48</v>
      </c>
    </row>
    <row r="16" spans="1:29" x14ac:dyDescent="0.2">
      <c r="A16" s="1" t="s">
        <v>383</v>
      </c>
      <c r="B16" s="1">
        <v>9368.25</v>
      </c>
      <c r="C16" s="1">
        <v>9375.85</v>
      </c>
      <c r="D16" s="1">
        <v>9368.01</v>
      </c>
      <c r="E16" s="1">
        <v>9376.43</v>
      </c>
      <c r="F16" s="1">
        <v>9374</v>
      </c>
      <c r="G16" s="1">
        <v>9370.0400000000009</v>
      </c>
      <c r="H16" s="1">
        <v>9371.27</v>
      </c>
      <c r="I16" s="1">
        <v>9373.43</v>
      </c>
      <c r="J16" s="1">
        <v>9376.68</v>
      </c>
      <c r="K16" s="1">
        <v>9371.35</v>
      </c>
      <c r="L16" s="1">
        <v>9374.18</v>
      </c>
      <c r="M16" s="1">
        <v>9372.1200000000008</v>
      </c>
      <c r="N16" s="1">
        <v>9375.7199999999993</v>
      </c>
      <c r="O16" s="1">
        <v>9370.7800000000007</v>
      </c>
      <c r="P16" s="1">
        <v>9368.68</v>
      </c>
      <c r="Q16" s="1">
        <v>9375.14</v>
      </c>
      <c r="R16" s="1">
        <v>9370.98</v>
      </c>
      <c r="S16" s="1">
        <v>9372.9</v>
      </c>
      <c r="T16" s="1">
        <v>9377.93</v>
      </c>
      <c r="U16" s="1">
        <v>9368.39</v>
      </c>
      <c r="V16" s="1">
        <v>9371.01</v>
      </c>
      <c r="W16" s="1">
        <v>9371.75</v>
      </c>
      <c r="X16" s="1">
        <v>9377.15</v>
      </c>
      <c r="Y16" s="1">
        <v>9369.0499999999993</v>
      </c>
      <c r="Z16" s="1">
        <v>9373.48</v>
      </c>
      <c r="AA16" s="1">
        <v>9370.02</v>
      </c>
      <c r="AB16" s="1">
        <v>9375.4699999999993</v>
      </c>
      <c r="AC16" s="1">
        <v>9372.65</v>
      </c>
    </row>
    <row r="17" spans="1:29" x14ac:dyDescent="0.2">
      <c r="A17" s="1" t="s">
        <v>384</v>
      </c>
      <c r="B17" s="1">
        <v>9369.39</v>
      </c>
      <c r="C17" s="1">
        <v>9369.44</v>
      </c>
      <c r="D17" s="1">
        <v>9372.85</v>
      </c>
      <c r="E17" s="1">
        <v>9371.4699999999993</v>
      </c>
      <c r="F17" s="1">
        <v>9376.2000000000007</v>
      </c>
      <c r="G17" s="1">
        <v>9373.7999999999993</v>
      </c>
      <c r="H17" s="1">
        <v>9375.06</v>
      </c>
      <c r="I17" s="1">
        <v>9370.25</v>
      </c>
      <c r="J17" s="1">
        <v>9376</v>
      </c>
      <c r="K17" s="1">
        <v>9376.65</v>
      </c>
      <c r="L17" s="1">
        <v>9371.2900000000009</v>
      </c>
      <c r="M17" s="1">
        <v>9376.2000000000007</v>
      </c>
      <c r="N17" s="1">
        <v>9370.1200000000008</v>
      </c>
      <c r="O17" s="1">
        <v>9377.27</v>
      </c>
      <c r="P17" s="1">
        <v>9375.26</v>
      </c>
      <c r="Q17" s="1">
        <v>9372.51</v>
      </c>
      <c r="R17" s="1">
        <v>9377.65</v>
      </c>
      <c r="S17" s="1">
        <v>9370.92</v>
      </c>
      <c r="T17" s="1">
        <v>9369.2900000000009</v>
      </c>
      <c r="U17" s="1">
        <v>9371.4</v>
      </c>
      <c r="V17" s="1">
        <v>9371.5400000000009</v>
      </c>
      <c r="W17" s="1">
        <v>9370.18</v>
      </c>
      <c r="X17" s="1">
        <v>9374.59</v>
      </c>
      <c r="Y17" s="1">
        <v>9377.4500000000007</v>
      </c>
      <c r="Z17" s="1">
        <v>9371.94</v>
      </c>
      <c r="AA17" s="1">
        <v>9376.48</v>
      </c>
      <c r="AB17" s="1">
        <v>9374.27</v>
      </c>
      <c r="AC17" s="1">
        <v>9371.89</v>
      </c>
    </row>
    <row r="18" spans="1:29" x14ac:dyDescent="0.2">
      <c r="A18" s="1" t="s">
        <v>378</v>
      </c>
      <c r="B18" s="1">
        <v>9375.51</v>
      </c>
      <c r="C18" s="1">
        <v>9379.01</v>
      </c>
      <c r="D18" s="1">
        <v>9378.1299999999992</v>
      </c>
      <c r="E18" s="1">
        <v>9375.89</v>
      </c>
      <c r="F18" s="1">
        <v>9383.93</v>
      </c>
      <c r="G18" s="1">
        <v>9383.7000000000007</v>
      </c>
      <c r="H18" s="1">
        <v>9384.49</v>
      </c>
      <c r="I18" s="1">
        <v>9377.7800000000007</v>
      </c>
      <c r="J18" s="1">
        <v>9379.75</v>
      </c>
      <c r="K18" s="1">
        <v>9377.44</v>
      </c>
      <c r="L18" s="1">
        <v>9379.07</v>
      </c>
      <c r="M18" s="1">
        <v>9381.7900000000009</v>
      </c>
      <c r="N18" s="1">
        <v>9375.5300000000007</v>
      </c>
      <c r="O18" s="1">
        <v>9381.36</v>
      </c>
      <c r="P18" s="1">
        <v>9381.2999999999993</v>
      </c>
      <c r="Q18" s="1">
        <v>9377.42</v>
      </c>
      <c r="R18" s="1">
        <v>9381.35</v>
      </c>
      <c r="S18" s="1">
        <v>9380.2800000000007</v>
      </c>
      <c r="T18" s="1">
        <v>9380.82</v>
      </c>
      <c r="U18" s="1">
        <v>9378.1299999999992</v>
      </c>
      <c r="V18" s="1">
        <v>9378.08</v>
      </c>
      <c r="W18" s="1">
        <v>9375.68</v>
      </c>
      <c r="X18" s="1">
        <v>9377.5499999999993</v>
      </c>
      <c r="Y18" s="1">
        <v>9378.74</v>
      </c>
      <c r="Z18" s="1">
        <v>9378.06</v>
      </c>
      <c r="AA18" s="1">
        <v>9380.6</v>
      </c>
      <c r="AB18" s="1">
        <v>9380.44</v>
      </c>
      <c r="AC18" s="1">
        <v>9384.43</v>
      </c>
    </row>
    <row r="19" spans="1:29" x14ac:dyDescent="0.2">
      <c r="A19" s="1" t="s">
        <v>380</v>
      </c>
      <c r="B19" s="1">
        <v>9377.93</v>
      </c>
      <c r="C19" s="1">
        <v>9381.0499999999993</v>
      </c>
      <c r="D19" s="1">
        <v>9378.7800000000007</v>
      </c>
      <c r="E19" s="1">
        <v>9378.1</v>
      </c>
      <c r="F19" s="1">
        <v>9376.11</v>
      </c>
      <c r="G19" s="1">
        <v>9379.31</v>
      </c>
      <c r="H19" s="1">
        <v>9375.39</v>
      </c>
      <c r="I19" s="1">
        <v>9376.4699999999993</v>
      </c>
      <c r="J19" s="1">
        <v>9383.6</v>
      </c>
      <c r="K19" s="1">
        <v>9382.7800000000007</v>
      </c>
      <c r="L19" s="1">
        <v>9382.67</v>
      </c>
      <c r="M19" s="1">
        <v>9379.85</v>
      </c>
      <c r="N19" s="1">
        <v>9383</v>
      </c>
      <c r="O19" s="1">
        <v>9377.43</v>
      </c>
      <c r="P19" s="1">
        <v>9378.4599999999991</v>
      </c>
      <c r="Q19" s="1">
        <v>9382.44</v>
      </c>
      <c r="R19" s="1">
        <v>9375.65</v>
      </c>
      <c r="S19" s="1">
        <v>9377.4599999999991</v>
      </c>
      <c r="T19" s="1">
        <v>9380.01</v>
      </c>
      <c r="U19" s="1">
        <v>9384.01</v>
      </c>
      <c r="V19" s="1">
        <v>9378.64</v>
      </c>
      <c r="W19" s="1">
        <v>9384.58</v>
      </c>
      <c r="X19" s="1">
        <v>9378.2900000000009</v>
      </c>
      <c r="Y19" s="1">
        <v>9379.33</v>
      </c>
      <c r="Z19" s="1">
        <v>9382.5400000000009</v>
      </c>
      <c r="AA19" s="1">
        <v>9379.16</v>
      </c>
      <c r="AB19" s="1">
        <v>9375.99</v>
      </c>
      <c r="AC19" s="1">
        <v>9380.26</v>
      </c>
    </row>
    <row r="20" spans="1:29" x14ac:dyDescent="0.2">
      <c r="A20" s="1" t="s">
        <v>381</v>
      </c>
      <c r="B20" s="1">
        <v>9381.07</v>
      </c>
      <c r="C20" s="1">
        <v>9378.61</v>
      </c>
      <c r="D20" s="1">
        <v>9380.42</v>
      </c>
      <c r="E20" s="1">
        <v>9380.17</v>
      </c>
      <c r="F20" s="1">
        <v>9382.5</v>
      </c>
      <c r="G20" s="1">
        <v>9376</v>
      </c>
      <c r="H20" s="1">
        <v>9380.17</v>
      </c>
      <c r="I20" s="1">
        <v>9381.3799999999992</v>
      </c>
      <c r="J20" s="1">
        <v>9381.1</v>
      </c>
      <c r="K20" s="1">
        <v>9380.41</v>
      </c>
      <c r="L20" s="1">
        <v>9376.18</v>
      </c>
      <c r="M20" s="1">
        <v>9379.3700000000008</v>
      </c>
      <c r="N20" s="1">
        <v>9381.68</v>
      </c>
      <c r="O20" s="1">
        <v>9384.23</v>
      </c>
      <c r="P20" s="1">
        <v>9377.41</v>
      </c>
      <c r="Q20" s="1">
        <v>9383.2900000000009</v>
      </c>
      <c r="R20" s="1">
        <v>9377.0499999999993</v>
      </c>
      <c r="S20" s="1">
        <v>9380.89</v>
      </c>
      <c r="T20" s="1">
        <v>9381.57</v>
      </c>
      <c r="U20" s="1">
        <v>9375.69</v>
      </c>
      <c r="V20" s="1">
        <v>9376.83</v>
      </c>
      <c r="W20" s="1">
        <v>9380.51</v>
      </c>
      <c r="X20" s="1">
        <v>9384.58</v>
      </c>
      <c r="Y20" s="1">
        <v>9376.74</v>
      </c>
      <c r="Z20" s="1">
        <v>9381.24</v>
      </c>
      <c r="AA20" s="1">
        <v>9383.68</v>
      </c>
      <c r="AB20" s="1">
        <v>9384.5</v>
      </c>
      <c r="AC20" s="1">
        <v>9376.1200000000008</v>
      </c>
    </row>
    <row r="21" spans="1:29" x14ac:dyDescent="0.2">
      <c r="A21" s="1" t="s">
        <v>382</v>
      </c>
      <c r="B21" s="1">
        <v>9378.75</v>
      </c>
      <c r="C21" s="1">
        <v>9378.77</v>
      </c>
      <c r="D21" s="1">
        <v>9376.65</v>
      </c>
      <c r="E21" s="1">
        <v>9381.2000000000007</v>
      </c>
      <c r="F21" s="1">
        <v>9384.36</v>
      </c>
      <c r="G21" s="1">
        <v>9375.73</v>
      </c>
      <c r="H21" s="1">
        <v>9378.7099999999991</v>
      </c>
      <c r="I21" s="1">
        <v>9382.7000000000007</v>
      </c>
      <c r="J21" s="1">
        <v>9381.14</v>
      </c>
      <c r="K21" s="1">
        <v>9380.31</v>
      </c>
      <c r="L21" s="1">
        <v>9376.2099999999991</v>
      </c>
      <c r="M21" s="1">
        <v>9378.36</v>
      </c>
      <c r="N21" s="1">
        <v>9383.2900000000009</v>
      </c>
      <c r="O21" s="1">
        <v>9377.32</v>
      </c>
      <c r="P21" s="1">
        <v>9383.0400000000009</v>
      </c>
      <c r="Q21" s="1">
        <v>9384.2099999999991</v>
      </c>
      <c r="R21" s="1">
        <v>9384.18</v>
      </c>
      <c r="S21" s="1">
        <v>9383.08</v>
      </c>
      <c r="T21" s="1">
        <v>9379.89</v>
      </c>
      <c r="U21" s="1">
        <v>9377.92</v>
      </c>
      <c r="V21" s="1">
        <v>9379.42</v>
      </c>
      <c r="W21" s="1">
        <v>9381.24</v>
      </c>
      <c r="X21" s="1">
        <v>9377.24</v>
      </c>
      <c r="Y21" s="1">
        <v>9379.7000000000007</v>
      </c>
      <c r="Z21" s="1">
        <v>9375.27</v>
      </c>
      <c r="AA21" s="1">
        <v>9381.0300000000007</v>
      </c>
      <c r="AB21" s="1">
        <v>9378.99</v>
      </c>
      <c r="AC21" s="1">
        <v>9378.5300000000007</v>
      </c>
    </row>
    <row r="22" spans="1:29" x14ac:dyDescent="0.2">
      <c r="A22" s="1" t="s">
        <v>379</v>
      </c>
      <c r="B22" s="1">
        <v>9377.0499999999993</v>
      </c>
      <c r="C22" s="1">
        <v>9375.75</v>
      </c>
      <c r="D22" s="1">
        <v>9381.31</v>
      </c>
      <c r="E22" s="1">
        <v>9381.14</v>
      </c>
      <c r="F22" s="1">
        <v>9375.9500000000007</v>
      </c>
      <c r="G22" s="1">
        <v>9382.07</v>
      </c>
      <c r="H22" s="1">
        <v>9383.17</v>
      </c>
      <c r="I22" s="1">
        <v>9380.7000000000007</v>
      </c>
      <c r="J22" s="1">
        <v>9380.7999999999993</v>
      </c>
      <c r="K22" s="1">
        <v>9376.01</v>
      </c>
      <c r="L22" s="1">
        <v>9384.59</v>
      </c>
      <c r="M22" s="1">
        <v>9382.93</v>
      </c>
      <c r="N22" s="1">
        <v>9384.42</v>
      </c>
      <c r="O22" s="1">
        <v>9383.67</v>
      </c>
      <c r="P22" s="1">
        <v>9380.7000000000007</v>
      </c>
      <c r="Q22" s="1">
        <v>9377.4599999999991</v>
      </c>
      <c r="R22" s="1">
        <v>9383.2099999999991</v>
      </c>
      <c r="S22" s="1">
        <v>9383.99</v>
      </c>
      <c r="T22" s="1">
        <v>9384.23</v>
      </c>
      <c r="U22" s="1">
        <v>9383.1299999999992</v>
      </c>
      <c r="V22" s="1">
        <v>9382.74</v>
      </c>
      <c r="W22" s="1">
        <v>9376.31</v>
      </c>
      <c r="X22" s="1">
        <v>9376.64</v>
      </c>
      <c r="Y22" s="1">
        <v>9384.92</v>
      </c>
      <c r="Z22" s="1">
        <v>9383.19</v>
      </c>
      <c r="AA22" s="1">
        <v>9384.25</v>
      </c>
      <c r="AB22" s="1">
        <v>9377.84</v>
      </c>
      <c r="AC22" s="1">
        <v>9378.75</v>
      </c>
    </row>
    <row r="23" spans="1:29" x14ac:dyDescent="0.2">
      <c r="A23" s="1" t="s">
        <v>400</v>
      </c>
      <c r="B23" s="1">
        <v>7708.48</v>
      </c>
      <c r="C23" s="1">
        <v>7378.4</v>
      </c>
      <c r="D23" s="1">
        <v>7602.9</v>
      </c>
      <c r="E23" s="1">
        <v>8410.32</v>
      </c>
      <c r="F23" s="1">
        <v>8442.35</v>
      </c>
      <c r="G23" s="1">
        <v>7402.88</v>
      </c>
      <c r="H23" s="1">
        <v>7610.16</v>
      </c>
      <c r="I23" s="1">
        <v>7241.35</v>
      </c>
      <c r="J23" s="1">
        <v>7327.61</v>
      </c>
      <c r="K23" s="1">
        <v>7725.73</v>
      </c>
      <c r="L23" s="1">
        <v>8679.82</v>
      </c>
      <c r="M23" s="1">
        <v>7548.79</v>
      </c>
      <c r="N23" s="1">
        <v>7471.46</v>
      </c>
      <c r="O23" s="1">
        <v>7530.56</v>
      </c>
      <c r="P23" s="1">
        <v>7714.08</v>
      </c>
      <c r="Q23" s="1">
        <v>7504.11</v>
      </c>
      <c r="R23" s="1">
        <v>8599.0499999999993</v>
      </c>
      <c r="S23" s="1">
        <v>8730.73</v>
      </c>
      <c r="T23" s="1">
        <v>7303.35</v>
      </c>
      <c r="U23" s="1">
        <v>7617.73</v>
      </c>
      <c r="V23" s="1">
        <v>7530.79</v>
      </c>
      <c r="W23" s="1">
        <v>7705.04</v>
      </c>
      <c r="X23" s="1">
        <v>8478.49</v>
      </c>
      <c r="Y23" s="1">
        <v>7445.73</v>
      </c>
      <c r="Z23" s="1">
        <v>8763.33</v>
      </c>
      <c r="AA23" s="1">
        <v>8425.83</v>
      </c>
      <c r="AB23" s="1">
        <v>7282.36</v>
      </c>
      <c r="AC23" s="1">
        <v>7522.1</v>
      </c>
    </row>
    <row r="24" spans="1:29" x14ac:dyDescent="0.2">
      <c r="A24" s="1" t="s">
        <v>399</v>
      </c>
      <c r="B24" s="1">
        <v>8783.19</v>
      </c>
      <c r="C24" s="1">
        <v>7886.12</v>
      </c>
      <c r="D24" s="1">
        <v>8184.89</v>
      </c>
      <c r="E24" s="1">
        <v>9031.43</v>
      </c>
      <c r="F24" s="1">
        <v>7810.17</v>
      </c>
      <c r="G24" s="1">
        <v>8066.82</v>
      </c>
      <c r="H24" s="1">
        <v>7346</v>
      </c>
      <c r="I24" s="1">
        <v>7201.8</v>
      </c>
      <c r="J24" s="1">
        <v>7841.39</v>
      </c>
      <c r="K24" s="1">
        <v>7277.24</v>
      </c>
      <c r="L24" s="1">
        <v>8772.02</v>
      </c>
      <c r="M24" s="1">
        <v>7293.02</v>
      </c>
      <c r="N24" s="1">
        <v>7717.96</v>
      </c>
      <c r="O24" s="1">
        <v>8035.63</v>
      </c>
      <c r="P24" s="1">
        <v>7364.07</v>
      </c>
      <c r="Q24" s="1">
        <v>7828.74</v>
      </c>
      <c r="R24" s="1">
        <v>8220.4599999999991</v>
      </c>
      <c r="S24" s="1">
        <v>8194.85</v>
      </c>
      <c r="T24" s="1">
        <v>7818.21</v>
      </c>
      <c r="U24" s="1">
        <v>8020.38</v>
      </c>
      <c r="V24" s="1">
        <v>7266.57</v>
      </c>
      <c r="W24" s="1">
        <v>7539.42</v>
      </c>
      <c r="X24" s="1">
        <v>8530.59</v>
      </c>
      <c r="Y24" s="1">
        <v>8046.37</v>
      </c>
      <c r="Z24" s="1">
        <v>8315.31</v>
      </c>
      <c r="AA24" s="1">
        <v>8043.19</v>
      </c>
      <c r="AB24" s="1">
        <v>7667.62</v>
      </c>
      <c r="AC24" s="1">
        <v>7718.96</v>
      </c>
    </row>
    <row r="25" spans="1:29" x14ac:dyDescent="0.2">
      <c r="A25" s="1" t="s">
        <v>307</v>
      </c>
      <c r="B25" s="1">
        <v>7732.08</v>
      </c>
      <c r="C25" s="1">
        <v>7301.8</v>
      </c>
      <c r="D25" s="1">
        <v>7634.37</v>
      </c>
      <c r="E25" s="1">
        <v>9546.61</v>
      </c>
      <c r="F25" s="1">
        <v>8153.21</v>
      </c>
      <c r="G25" s="1">
        <v>7616.06</v>
      </c>
      <c r="H25" s="1">
        <v>7447.07</v>
      </c>
      <c r="I25" s="1">
        <v>7207.55</v>
      </c>
      <c r="J25" s="1">
        <v>8282.91</v>
      </c>
      <c r="K25" s="1">
        <v>7853.19</v>
      </c>
      <c r="L25" s="1">
        <v>7886.08</v>
      </c>
      <c r="M25" s="1">
        <v>7237.89</v>
      </c>
      <c r="N25" s="1">
        <v>7361.98</v>
      </c>
      <c r="O25" s="1">
        <v>7970.71</v>
      </c>
      <c r="P25" s="1">
        <v>7896.32</v>
      </c>
      <c r="Q25" s="1">
        <v>7254.25</v>
      </c>
      <c r="R25" s="1">
        <v>7364.24</v>
      </c>
      <c r="S25" s="1">
        <v>8811.68</v>
      </c>
      <c r="T25" s="1">
        <v>7350.18</v>
      </c>
      <c r="U25" s="1">
        <v>7713.4</v>
      </c>
      <c r="V25" s="1">
        <v>8486.2999999999993</v>
      </c>
      <c r="W25" s="1">
        <v>7223.14</v>
      </c>
      <c r="X25" s="1">
        <v>8286.16</v>
      </c>
      <c r="Y25" s="1">
        <v>7686.16</v>
      </c>
      <c r="Z25" s="1">
        <v>8930.1299999999992</v>
      </c>
      <c r="AA25" s="1">
        <v>7438.4</v>
      </c>
      <c r="AB25" s="1">
        <v>7191.59</v>
      </c>
      <c r="AC25" s="1">
        <v>7534</v>
      </c>
    </row>
    <row r="26" spans="1:29" x14ac:dyDescent="0.2">
      <c r="A26" s="1" t="s">
        <v>308</v>
      </c>
      <c r="B26" s="1">
        <v>7732.21</v>
      </c>
      <c r="C26" s="1">
        <v>7301.98</v>
      </c>
      <c r="D26" s="1">
        <v>7635.22</v>
      </c>
      <c r="E26" s="1">
        <v>9546.76</v>
      </c>
      <c r="F26" s="1">
        <v>8153.31</v>
      </c>
      <c r="G26" s="1">
        <v>7616.97</v>
      </c>
      <c r="H26" s="1">
        <v>7447.49</v>
      </c>
      <c r="I26" s="1">
        <v>7206.86</v>
      </c>
      <c r="J26" s="1">
        <v>8282.73</v>
      </c>
      <c r="K26" s="1">
        <v>7853.91</v>
      </c>
      <c r="L26" s="1">
        <v>7886.82</v>
      </c>
      <c r="M26" s="1">
        <v>7236.97</v>
      </c>
      <c r="N26" s="1">
        <v>7362.9</v>
      </c>
      <c r="O26" s="1">
        <v>7971.59</v>
      </c>
      <c r="P26" s="1">
        <v>7895.52</v>
      </c>
      <c r="Q26" s="1">
        <v>7254.28</v>
      </c>
      <c r="R26" s="1">
        <v>7364.17</v>
      </c>
      <c r="S26" s="1">
        <v>8811.14</v>
      </c>
      <c r="T26" s="1">
        <v>7350.23</v>
      </c>
      <c r="U26" s="1">
        <v>7713.17</v>
      </c>
      <c r="V26" s="1">
        <v>8486.69</v>
      </c>
      <c r="W26" s="1">
        <v>7223</v>
      </c>
      <c r="X26" s="1">
        <v>8286.84</v>
      </c>
      <c r="Y26" s="1">
        <v>7685.81</v>
      </c>
      <c r="Z26" s="1">
        <v>8930.61</v>
      </c>
      <c r="AA26" s="1">
        <v>7439.25</v>
      </c>
      <c r="AB26" s="1">
        <v>7191.8</v>
      </c>
      <c r="AC26" s="1">
        <v>7533.56</v>
      </c>
    </row>
    <row r="27" spans="1:29" x14ac:dyDescent="0.2">
      <c r="A27" s="1" t="s">
        <v>410</v>
      </c>
      <c r="B27" s="1">
        <v>7338.41</v>
      </c>
      <c r="C27" s="1">
        <v>7214.76</v>
      </c>
      <c r="D27" s="1">
        <v>7800.43</v>
      </c>
      <c r="E27" s="1">
        <v>8043.73</v>
      </c>
      <c r="F27" s="1">
        <v>7419.23</v>
      </c>
      <c r="G27" s="1">
        <v>7619.4</v>
      </c>
      <c r="H27" s="1">
        <v>7197.79</v>
      </c>
      <c r="I27" s="1">
        <v>7235.45</v>
      </c>
      <c r="J27" s="1">
        <v>7491.6</v>
      </c>
      <c r="K27" s="1">
        <v>8023.74</v>
      </c>
      <c r="L27" s="1">
        <v>8123.59</v>
      </c>
      <c r="M27" s="1">
        <v>7255.5</v>
      </c>
      <c r="N27" s="1">
        <v>7546.77</v>
      </c>
      <c r="O27" s="1">
        <v>7220.45</v>
      </c>
      <c r="P27" s="1">
        <v>7633.54</v>
      </c>
      <c r="Q27" s="1">
        <v>7286.46</v>
      </c>
      <c r="R27" s="1">
        <v>7346.28</v>
      </c>
      <c r="S27" s="1">
        <v>9087.42</v>
      </c>
      <c r="T27" s="1">
        <v>7445.92</v>
      </c>
      <c r="U27" s="1">
        <v>7597.99</v>
      </c>
      <c r="V27" s="1">
        <v>7979.99</v>
      </c>
      <c r="W27" s="1">
        <v>7350.73</v>
      </c>
      <c r="X27" s="1">
        <v>7841.01</v>
      </c>
      <c r="Y27" s="1">
        <v>7229.63</v>
      </c>
      <c r="Z27" s="1">
        <v>9614.7099999999991</v>
      </c>
      <c r="AA27" s="1">
        <v>7952.92</v>
      </c>
      <c r="AB27" s="1">
        <v>7235.57</v>
      </c>
      <c r="AC27" s="1">
        <v>7220.49</v>
      </c>
    </row>
    <row r="28" spans="1:29" x14ac:dyDescent="0.2">
      <c r="A28" s="1" t="s">
        <v>406</v>
      </c>
      <c r="B28" s="1">
        <v>9380.65</v>
      </c>
      <c r="C28" s="1">
        <v>9378.76</v>
      </c>
      <c r="D28" s="1">
        <v>9377.68</v>
      </c>
      <c r="E28" s="1">
        <v>9375.0400000000009</v>
      </c>
      <c r="F28" s="1">
        <v>9375.43</v>
      </c>
      <c r="G28" s="1">
        <v>9384.43</v>
      </c>
      <c r="H28" s="1">
        <v>9379.19</v>
      </c>
      <c r="I28" s="1">
        <v>9380.35</v>
      </c>
      <c r="J28" s="1">
        <v>9382.09</v>
      </c>
      <c r="K28" s="1">
        <v>9382.25</v>
      </c>
      <c r="L28" s="1">
        <v>9381.69</v>
      </c>
      <c r="M28" s="1">
        <v>9380.1299999999992</v>
      </c>
      <c r="N28" s="1">
        <v>9376.08</v>
      </c>
      <c r="O28" s="1">
        <v>9378.8799999999992</v>
      </c>
      <c r="P28" s="1">
        <v>9382.84</v>
      </c>
      <c r="Q28" s="1">
        <v>9384.49</v>
      </c>
      <c r="R28" s="1">
        <v>9384.59</v>
      </c>
      <c r="S28" s="1">
        <v>9380.4500000000007</v>
      </c>
      <c r="T28" s="1">
        <v>9384.1299999999992</v>
      </c>
      <c r="U28" s="1">
        <v>9383.64</v>
      </c>
      <c r="V28" s="1">
        <v>9383.75</v>
      </c>
      <c r="W28" s="1">
        <v>9375.18</v>
      </c>
      <c r="X28" s="1">
        <v>9381.51</v>
      </c>
      <c r="Y28" s="1">
        <v>9380.56</v>
      </c>
      <c r="Z28" s="1">
        <v>9384.49</v>
      </c>
      <c r="AA28" s="1">
        <v>9378.49</v>
      </c>
      <c r="AB28" s="1">
        <v>9376.14</v>
      </c>
      <c r="AC28" s="1">
        <v>9375.76</v>
      </c>
    </row>
    <row r="29" spans="1:29" x14ac:dyDescent="0.2">
      <c r="A29" s="1" t="s">
        <v>411</v>
      </c>
      <c r="B29" s="1">
        <v>7403.12</v>
      </c>
      <c r="C29" s="1">
        <v>7745.84</v>
      </c>
      <c r="D29" s="1">
        <v>7193.55</v>
      </c>
      <c r="E29" s="1">
        <v>7924.5</v>
      </c>
      <c r="F29" s="1">
        <v>7339.4</v>
      </c>
      <c r="G29" s="1">
        <v>7547.12</v>
      </c>
      <c r="H29" s="1">
        <v>7335.99</v>
      </c>
      <c r="I29" s="1">
        <v>7325.03</v>
      </c>
      <c r="J29" s="1">
        <v>7459.84</v>
      </c>
      <c r="K29" s="1">
        <v>7494.68</v>
      </c>
      <c r="L29" s="1">
        <v>8924.19</v>
      </c>
      <c r="M29" s="1">
        <v>7348.03</v>
      </c>
      <c r="N29" s="1">
        <v>7391.04</v>
      </c>
      <c r="O29" s="1">
        <v>7875.71</v>
      </c>
      <c r="P29" s="1">
        <v>7194.38</v>
      </c>
      <c r="Q29" s="1">
        <v>7575.8</v>
      </c>
      <c r="R29" s="1">
        <v>7620.21</v>
      </c>
      <c r="S29" s="1">
        <v>8194.27</v>
      </c>
      <c r="T29" s="1">
        <v>7190.02</v>
      </c>
      <c r="U29" s="1">
        <v>7589.23</v>
      </c>
      <c r="V29" s="1">
        <v>8331</v>
      </c>
      <c r="W29" s="1">
        <v>7661.41</v>
      </c>
      <c r="X29" s="1">
        <v>9163.6</v>
      </c>
      <c r="Y29" s="1">
        <v>7305.89</v>
      </c>
      <c r="Z29" s="1">
        <v>7935.59</v>
      </c>
      <c r="AA29" s="1">
        <v>8219.91</v>
      </c>
      <c r="AB29" s="1">
        <v>7640.66</v>
      </c>
      <c r="AC29" s="1">
        <v>8277.16</v>
      </c>
    </row>
    <row r="30" spans="1:29" x14ac:dyDescent="0.2">
      <c r="A30" s="1" t="s">
        <v>480</v>
      </c>
      <c r="B30" s="1">
        <v>7331.04</v>
      </c>
      <c r="C30" s="1">
        <v>7908.89</v>
      </c>
      <c r="D30" s="1">
        <v>7644.64</v>
      </c>
      <c r="E30" s="1">
        <v>7661.96</v>
      </c>
      <c r="F30" s="1">
        <v>7744.8</v>
      </c>
      <c r="G30" s="1">
        <v>7605.01</v>
      </c>
      <c r="H30" s="1">
        <v>7428.93</v>
      </c>
      <c r="I30" s="1">
        <v>7580.01</v>
      </c>
      <c r="J30" s="1">
        <v>7534.29</v>
      </c>
      <c r="K30" s="1">
        <v>7882.31</v>
      </c>
      <c r="L30" s="1">
        <v>8977.1200000000008</v>
      </c>
      <c r="M30" s="1">
        <v>7250.96</v>
      </c>
      <c r="N30" s="1">
        <v>7756.6</v>
      </c>
      <c r="O30" s="1">
        <v>7819.25</v>
      </c>
      <c r="P30" s="1">
        <v>8218.6200000000008</v>
      </c>
      <c r="Q30" s="1">
        <v>7531.42</v>
      </c>
      <c r="R30" s="1">
        <v>8775.59</v>
      </c>
      <c r="S30" s="1">
        <v>8746.64</v>
      </c>
      <c r="T30" s="1">
        <v>7203.08</v>
      </c>
      <c r="U30" s="1">
        <v>7945.69</v>
      </c>
      <c r="V30" s="1">
        <v>8019.57</v>
      </c>
      <c r="W30" s="1">
        <v>7236.93</v>
      </c>
      <c r="X30" s="1">
        <v>7706.43</v>
      </c>
      <c r="Y30" s="1">
        <v>7776.51</v>
      </c>
      <c r="Z30" s="1">
        <v>7727.58</v>
      </c>
      <c r="AA30" s="1">
        <v>8477.8700000000008</v>
      </c>
      <c r="AB30" s="1">
        <v>7487.61</v>
      </c>
      <c r="AC30" s="1">
        <v>7582.98</v>
      </c>
    </row>
    <row r="31" spans="1:29" x14ac:dyDescent="0.2">
      <c r="A31" s="1" t="s">
        <v>481</v>
      </c>
      <c r="B31" s="1">
        <v>7365.91</v>
      </c>
      <c r="C31" s="1">
        <v>7570.47</v>
      </c>
      <c r="D31" s="1">
        <v>7287.05</v>
      </c>
      <c r="E31" s="1">
        <v>9367.3799999999992</v>
      </c>
      <c r="F31" s="1">
        <v>7821.66</v>
      </c>
      <c r="G31" s="1">
        <v>7628.91</v>
      </c>
      <c r="H31" s="1">
        <v>7543.28</v>
      </c>
      <c r="I31" s="1">
        <v>8041.64</v>
      </c>
      <c r="J31" s="1">
        <v>7343.39</v>
      </c>
      <c r="K31" s="1">
        <v>7220.88</v>
      </c>
      <c r="L31" s="1">
        <v>8373.02</v>
      </c>
      <c r="M31" s="1">
        <v>7784.22</v>
      </c>
      <c r="N31" s="1">
        <v>7815.79</v>
      </c>
      <c r="O31" s="1">
        <v>8326.86</v>
      </c>
      <c r="P31" s="1">
        <v>8178.4</v>
      </c>
      <c r="Q31" s="1">
        <v>8033.24</v>
      </c>
      <c r="R31" s="1">
        <v>7335.98</v>
      </c>
      <c r="S31" s="1">
        <v>8206.84</v>
      </c>
      <c r="T31" s="1">
        <v>7687.1</v>
      </c>
      <c r="U31" s="1">
        <v>7902</v>
      </c>
      <c r="V31" s="1">
        <v>8627.01</v>
      </c>
      <c r="W31" s="1">
        <v>7448.38</v>
      </c>
      <c r="X31" s="1">
        <v>7581.4</v>
      </c>
      <c r="Y31" s="1">
        <v>8030.2</v>
      </c>
      <c r="Z31" s="1">
        <v>8716.99</v>
      </c>
      <c r="AA31" s="1">
        <v>8259.51</v>
      </c>
      <c r="AB31" s="1">
        <v>7808.56</v>
      </c>
      <c r="AC31" s="1">
        <v>7616.24</v>
      </c>
    </row>
    <row r="32" spans="1:29" x14ac:dyDescent="0.2">
      <c r="A32" s="1" t="s">
        <v>434</v>
      </c>
      <c r="B32" s="1">
        <v>7525.98</v>
      </c>
      <c r="C32" s="1">
        <v>7190.27</v>
      </c>
      <c r="D32" s="1">
        <v>7641.32</v>
      </c>
      <c r="E32" s="1">
        <v>8532.19</v>
      </c>
      <c r="F32" s="1">
        <v>7207.84</v>
      </c>
      <c r="G32" s="1">
        <v>7419.11</v>
      </c>
      <c r="H32" s="1">
        <v>7254.95</v>
      </c>
      <c r="I32" s="1">
        <v>7461.04</v>
      </c>
      <c r="J32" s="1">
        <v>8547.19</v>
      </c>
      <c r="K32" s="1">
        <v>8478.42</v>
      </c>
      <c r="L32" s="1">
        <v>7801.32</v>
      </c>
      <c r="M32" s="1">
        <v>7278.25</v>
      </c>
      <c r="N32" s="1">
        <v>7202.02</v>
      </c>
      <c r="O32" s="1">
        <v>7456.32</v>
      </c>
      <c r="P32" s="1">
        <v>7198.72</v>
      </c>
      <c r="Q32" s="1">
        <v>7198.73</v>
      </c>
      <c r="R32" s="1">
        <v>8717.23</v>
      </c>
      <c r="S32" s="1">
        <v>8517.8799999999992</v>
      </c>
      <c r="T32" s="1">
        <v>7366.96</v>
      </c>
      <c r="U32" s="1">
        <v>7588</v>
      </c>
      <c r="V32" s="1">
        <v>8127.11</v>
      </c>
      <c r="W32" s="1">
        <v>7537.02</v>
      </c>
      <c r="X32" s="1">
        <v>8242.39</v>
      </c>
      <c r="Y32" s="1">
        <v>7978.84</v>
      </c>
      <c r="Z32" s="1">
        <v>9269.85</v>
      </c>
      <c r="AA32" s="1">
        <v>7256.11</v>
      </c>
      <c r="AB32" s="1">
        <v>7286.55</v>
      </c>
      <c r="AC32" s="1">
        <v>7198.58</v>
      </c>
    </row>
    <row r="33" spans="1:31" x14ac:dyDescent="0.2">
      <c r="A33" s="1" t="s">
        <v>476</v>
      </c>
      <c r="B33" s="1">
        <v>7529.94</v>
      </c>
      <c r="C33" s="1">
        <v>7886.24</v>
      </c>
      <c r="D33" s="1">
        <v>7472.81</v>
      </c>
      <c r="E33" s="1">
        <v>8012.36</v>
      </c>
      <c r="F33" s="1">
        <v>7612.95</v>
      </c>
      <c r="G33" s="1">
        <v>7819.44</v>
      </c>
      <c r="H33" s="1">
        <v>7306.98</v>
      </c>
      <c r="I33" s="1">
        <v>7396.92</v>
      </c>
      <c r="J33" s="1">
        <v>7311.3</v>
      </c>
      <c r="K33" s="1">
        <v>7323.23</v>
      </c>
      <c r="L33" s="1">
        <v>8567.33</v>
      </c>
      <c r="M33" s="1">
        <v>7242.44</v>
      </c>
      <c r="N33" s="1">
        <v>7469.93</v>
      </c>
      <c r="O33" s="1">
        <v>8109.11</v>
      </c>
      <c r="P33" s="1">
        <v>7235.15</v>
      </c>
      <c r="Q33" s="1">
        <v>7276.47</v>
      </c>
      <c r="R33" s="1">
        <v>7995.27</v>
      </c>
      <c r="S33" s="1">
        <v>8272.99</v>
      </c>
      <c r="T33" s="1">
        <v>7385.09</v>
      </c>
      <c r="U33" s="1">
        <v>7315.99</v>
      </c>
      <c r="V33" s="1">
        <v>8380.8799999999992</v>
      </c>
      <c r="W33" s="1">
        <v>7240.69</v>
      </c>
      <c r="X33" s="1">
        <v>9082.4699999999993</v>
      </c>
      <c r="Y33" s="1">
        <v>7375.21</v>
      </c>
      <c r="Z33" s="1">
        <v>8011.61</v>
      </c>
      <c r="AA33" s="1">
        <v>7888.79</v>
      </c>
      <c r="AB33" s="1">
        <v>7601.21</v>
      </c>
      <c r="AC33" s="1">
        <v>8375.57</v>
      </c>
      <c r="AD33" s="1"/>
      <c r="AE33" s="1"/>
    </row>
    <row r="34" spans="1:31" x14ac:dyDescent="0.2">
      <c r="A34" s="1" t="s">
        <v>477</v>
      </c>
      <c r="B34" s="1">
        <v>7639.57</v>
      </c>
      <c r="C34" s="1">
        <v>7737.59</v>
      </c>
      <c r="D34" s="1">
        <v>7974.8</v>
      </c>
      <c r="E34" s="1">
        <v>9823.3700000000008</v>
      </c>
      <c r="F34" s="1">
        <v>7976.39</v>
      </c>
      <c r="G34" s="1">
        <v>7537.6</v>
      </c>
      <c r="H34" s="1">
        <v>7511.37</v>
      </c>
      <c r="I34" s="1">
        <v>7222.42</v>
      </c>
      <c r="J34" s="1">
        <v>7582.59</v>
      </c>
      <c r="K34" s="1">
        <v>8107.22</v>
      </c>
      <c r="L34" s="1">
        <v>7984.43</v>
      </c>
      <c r="M34" s="1">
        <v>7245.85</v>
      </c>
      <c r="N34" s="1">
        <v>7352.72</v>
      </c>
      <c r="O34" s="1">
        <v>7649.84</v>
      </c>
      <c r="P34" s="1">
        <v>7816.4</v>
      </c>
      <c r="Q34" s="1">
        <v>7208.08</v>
      </c>
      <c r="R34" s="1">
        <v>8011.88</v>
      </c>
      <c r="S34" s="1">
        <v>8532.25</v>
      </c>
      <c r="T34" s="1">
        <v>7509.39</v>
      </c>
      <c r="U34" s="1">
        <v>7589.02</v>
      </c>
      <c r="V34" s="1">
        <v>8164.88</v>
      </c>
      <c r="W34" s="1">
        <v>7228.54</v>
      </c>
      <c r="X34" s="1">
        <v>7755.39</v>
      </c>
      <c r="Y34" s="1">
        <v>8191.17</v>
      </c>
      <c r="Z34" s="1">
        <v>9279.1200000000008</v>
      </c>
      <c r="AA34" s="1">
        <v>7397.44</v>
      </c>
      <c r="AB34" s="1">
        <v>7871.88</v>
      </c>
      <c r="AC34" s="1">
        <v>7465.16</v>
      </c>
      <c r="AD34" s="1"/>
      <c r="AE34" s="1"/>
    </row>
    <row r="35" spans="1:31" x14ac:dyDescent="0.2">
      <c r="A35" s="1" t="s">
        <v>409</v>
      </c>
      <c r="B35" s="1">
        <v>7244.8</v>
      </c>
      <c r="C35" s="1">
        <v>7520.82</v>
      </c>
      <c r="D35" s="1">
        <v>7245.3</v>
      </c>
      <c r="E35" s="1">
        <v>9879.2199999999993</v>
      </c>
      <c r="F35" s="1">
        <v>7497.88</v>
      </c>
      <c r="G35" s="1">
        <v>7349.28</v>
      </c>
      <c r="H35" s="1">
        <v>7342.34</v>
      </c>
      <c r="I35" s="1">
        <v>7598.57</v>
      </c>
      <c r="J35" s="1">
        <v>7353.15</v>
      </c>
      <c r="K35" s="1">
        <v>8413.07</v>
      </c>
      <c r="L35" s="1">
        <v>8030.91</v>
      </c>
      <c r="M35" s="1">
        <v>7648.61</v>
      </c>
      <c r="N35" s="1">
        <v>7872.11</v>
      </c>
      <c r="O35" s="1">
        <v>7483.14</v>
      </c>
      <c r="P35" s="1">
        <v>8078.34</v>
      </c>
      <c r="Q35" s="1">
        <v>7778.35</v>
      </c>
      <c r="R35" s="1">
        <v>8428.75</v>
      </c>
      <c r="S35" s="1">
        <v>8781.5300000000007</v>
      </c>
      <c r="T35" s="1">
        <v>7727.36</v>
      </c>
      <c r="U35" s="1">
        <v>7316.88</v>
      </c>
      <c r="V35" s="1">
        <v>7983.8</v>
      </c>
      <c r="W35" s="1">
        <v>7195.96</v>
      </c>
      <c r="X35" s="1">
        <v>8744.9</v>
      </c>
      <c r="Y35" s="1">
        <v>7201.62</v>
      </c>
      <c r="Z35" s="1">
        <v>9187.9599999999991</v>
      </c>
      <c r="AA35" s="1">
        <v>7739.13</v>
      </c>
      <c r="AB35" s="1">
        <v>7191.98</v>
      </c>
      <c r="AC35" s="1">
        <v>8131.44</v>
      </c>
      <c r="AD35" s="1"/>
      <c r="AE35" s="1"/>
    </row>
    <row r="36" spans="1:31" x14ac:dyDescent="0.2">
      <c r="A36" s="1" t="s">
        <v>479</v>
      </c>
      <c r="B36" s="1">
        <v>7358.74</v>
      </c>
      <c r="C36" s="1">
        <v>7561.66</v>
      </c>
      <c r="D36" s="1">
        <v>7838.68</v>
      </c>
      <c r="E36" s="1">
        <v>10189.040000000001</v>
      </c>
      <c r="F36" s="1">
        <v>7239.31</v>
      </c>
      <c r="G36" s="1">
        <v>7386.95</v>
      </c>
      <c r="H36" s="1">
        <v>7275.67</v>
      </c>
      <c r="I36" s="1">
        <v>7389.19</v>
      </c>
      <c r="J36" s="1">
        <v>7531.99</v>
      </c>
      <c r="K36" s="1">
        <v>7854.89</v>
      </c>
      <c r="L36" s="1">
        <v>8310.19</v>
      </c>
      <c r="M36" s="1">
        <v>7196.45</v>
      </c>
      <c r="N36" s="1">
        <v>7229.81</v>
      </c>
      <c r="O36" s="1">
        <v>7208.11</v>
      </c>
      <c r="P36" s="1">
        <v>7201.67</v>
      </c>
      <c r="Q36" s="1">
        <v>7229.76</v>
      </c>
      <c r="R36" s="1">
        <v>7733.06</v>
      </c>
      <c r="S36" s="1">
        <v>7913.27</v>
      </c>
      <c r="T36" s="1">
        <v>7265.68</v>
      </c>
      <c r="U36" s="1">
        <v>7539.36</v>
      </c>
      <c r="V36" s="1">
        <v>8029.38</v>
      </c>
      <c r="W36" s="1">
        <v>7424.78</v>
      </c>
      <c r="X36" s="1">
        <v>7640.9</v>
      </c>
      <c r="Y36" s="1">
        <v>7436.87</v>
      </c>
      <c r="Z36" s="1">
        <v>7928.53</v>
      </c>
      <c r="AA36" s="1">
        <v>7207.14</v>
      </c>
      <c r="AB36" s="1">
        <v>7303.81</v>
      </c>
      <c r="AC36" s="1">
        <v>7223.56</v>
      </c>
      <c r="AD36" s="1"/>
      <c r="AE36" s="1"/>
    </row>
    <row r="37" spans="1:31" x14ac:dyDescent="0.2">
      <c r="A37" s="1"/>
      <c r="B37" s="1">
        <v>916.68598950000001</v>
      </c>
      <c r="C37" s="1">
        <v>943.94049059999998</v>
      </c>
      <c r="D37" s="1">
        <v>900.42161680000004</v>
      </c>
      <c r="E37" s="1">
        <v>578.9022645</v>
      </c>
      <c r="F37" s="1">
        <v>834.93376350000005</v>
      </c>
      <c r="G37" s="1">
        <v>888.89456789999997</v>
      </c>
      <c r="H37" s="1">
        <v>1002.806829</v>
      </c>
      <c r="I37" s="1">
        <v>1008.652214</v>
      </c>
      <c r="J37" s="1">
        <v>903.41430890000004</v>
      </c>
      <c r="K37" s="1">
        <v>878.83780609999997</v>
      </c>
      <c r="L37" s="1">
        <v>573.3380962</v>
      </c>
      <c r="M37" s="1">
        <v>1039.908504</v>
      </c>
      <c r="N37" s="1">
        <v>979.65663319999999</v>
      </c>
      <c r="O37" s="1">
        <v>888.39096289999998</v>
      </c>
      <c r="P37" s="1">
        <v>931.71995579999998</v>
      </c>
      <c r="Q37" s="1">
        <v>985.37681480000003</v>
      </c>
      <c r="R37" s="1">
        <v>760.13121390000003</v>
      </c>
      <c r="S37" s="1">
        <v>509.03185869999999</v>
      </c>
      <c r="T37" s="1">
        <v>974.09788800000001</v>
      </c>
      <c r="U37" s="1">
        <v>894.13972220000005</v>
      </c>
      <c r="V37" s="1">
        <v>777.60505939999996</v>
      </c>
      <c r="W37" s="1">
        <v>992.39382350000005</v>
      </c>
      <c r="X37" s="1">
        <v>722.08385820000001</v>
      </c>
      <c r="Y37" s="1">
        <v>900.9572359</v>
      </c>
      <c r="Z37" s="1">
        <v>511.37055170000002</v>
      </c>
      <c r="AA37" s="1">
        <v>795.93103280000003</v>
      </c>
      <c r="AB37" s="1">
        <v>975.23031490000005</v>
      </c>
      <c r="AC37" s="1">
        <v>935.97603219999996</v>
      </c>
      <c r="AD37" s="1">
        <v>1039.908504</v>
      </c>
      <c r="AE37" s="1">
        <v>509.03185869999999</v>
      </c>
    </row>
    <row r="38" spans="1:31" x14ac:dyDescent="0.2">
      <c r="A38" s="1"/>
      <c r="B38" s="1">
        <v>2136.27</v>
      </c>
      <c r="C38" s="1">
        <v>2190.7800000000002</v>
      </c>
      <c r="D38" s="1">
        <v>2187.7600000000002</v>
      </c>
      <c r="E38" s="1">
        <v>2527.08</v>
      </c>
      <c r="F38" s="1">
        <v>2176.52</v>
      </c>
      <c r="G38" s="1">
        <v>2035.15</v>
      </c>
      <c r="H38" s="1">
        <v>2186.6999999999998</v>
      </c>
      <c r="I38" s="1">
        <v>2180.9</v>
      </c>
      <c r="J38" s="1">
        <v>2172.4899999999998</v>
      </c>
      <c r="K38" s="1">
        <v>2161.9</v>
      </c>
      <c r="L38" s="1">
        <v>1583.27</v>
      </c>
      <c r="M38" s="1">
        <v>2186.48</v>
      </c>
      <c r="N38" s="1">
        <v>2184.14</v>
      </c>
      <c r="O38" s="1">
        <v>2176.12</v>
      </c>
      <c r="P38" s="1">
        <v>2188.66</v>
      </c>
      <c r="Q38" s="1">
        <v>2192.6</v>
      </c>
      <c r="R38" s="1">
        <v>2048.61</v>
      </c>
      <c r="S38" s="1">
        <v>1563.96</v>
      </c>
      <c r="T38" s="1">
        <v>2194.21</v>
      </c>
      <c r="U38" s="1">
        <v>2110.35</v>
      </c>
      <c r="V38" s="1">
        <v>2157.04</v>
      </c>
      <c r="W38" s="1">
        <v>2188.62</v>
      </c>
      <c r="X38" s="1">
        <v>2179.7600000000002</v>
      </c>
      <c r="Y38" s="1">
        <v>2183.3000000000002</v>
      </c>
      <c r="Z38" s="1">
        <v>1887.13</v>
      </c>
      <c r="AA38" s="1">
        <v>2177.11</v>
      </c>
      <c r="AB38" s="1">
        <v>2192.91</v>
      </c>
      <c r="AC38" s="1">
        <v>2185.85</v>
      </c>
      <c r="AD38" s="1">
        <v>2527.08</v>
      </c>
      <c r="AE38" s="1">
        <v>1563.96</v>
      </c>
    </row>
    <row r="39" spans="1:31" x14ac:dyDescent="0.2">
      <c r="A39" s="1"/>
      <c r="B39" s="1">
        <v>9381.07</v>
      </c>
      <c r="C39" s="1">
        <v>9381.0499999999993</v>
      </c>
      <c r="D39" s="1">
        <v>9381.31</v>
      </c>
      <c r="E39" s="1">
        <v>10189.040000000001</v>
      </c>
      <c r="F39" s="1">
        <v>9384.36</v>
      </c>
      <c r="G39" s="1">
        <v>9384.43</v>
      </c>
      <c r="H39" s="1">
        <v>9384.49</v>
      </c>
      <c r="I39" s="1">
        <v>9382.7000000000007</v>
      </c>
      <c r="J39" s="1">
        <v>9383.6</v>
      </c>
      <c r="K39" s="1">
        <v>9382.7800000000007</v>
      </c>
      <c r="L39" s="1">
        <v>9384.59</v>
      </c>
      <c r="M39" s="1">
        <v>9382.93</v>
      </c>
      <c r="N39" s="1">
        <v>9384.42</v>
      </c>
      <c r="O39" s="1">
        <v>9384.23</v>
      </c>
      <c r="P39" s="1">
        <v>9383.0400000000009</v>
      </c>
      <c r="Q39" s="1">
        <v>9384.49</v>
      </c>
      <c r="R39" s="1">
        <v>9384.59</v>
      </c>
      <c r="S39" s="1">
        <v>9383.99</v>
      </c>
      <c r="T39" s="1">
        <v>9384.23</v>
      </c>
      <c r="U39" s="1">
        <v>9384.01</v>
      </c>
      <c r="V39" s="1">
        <v>9383.75</v>
      </c>
      <c r="W39" s="1">
        <v>9384.58</v>
      </c>
      <c r="X39" s="1">
        <v>9384.58</v>
      </c>
      <c r="Y39" s="1">
        <v>9384.92</v>
      </c>
      <c r="Z39" s="1">
        <v>9614.7099999999991</v>
      </c>
      <c r="AA39" s="1"/>
      <c r="AB39" s="1"/>
      <c r="AC39" s="1"/>
      <c r="AD39" s="1">
        <v>2.5270800000000002</v>
      </c>
      <c r="AE39" s="1">
        <v>1.56396</v>
      </c>
    </row>
    <row r="40" spans="1:31" x14ac:dyDescent="0.2">
      <c r="A40" s="1"/>
      <c r="B40" s="1">
        <v>7244.8</v>
      </c>
      <c r="C40" s="1">
        <v>7190.27</v>
      </c>
      <c r="D40" s="1">
        <v>7193.55</v>
      </c>
      <c r="E40" s="1">
        <v>7661.96</v>
      </c>
      <c r="F40" s="1">
        <v>7207.84</v>
      </c>
      <c r="G40" s="1">
        <v>7349.28</v>
      </c>
      <c r="H40" s="1">
        <v>7197.79</v>
      </c>
      <c r="I40" s="1">
        <v>7201.8</v>
      </c>
      <c r="J40" s="1">
        <v>7211.11</v>
      </c>
      <c r="K40" s="1">
        <v>7220.88</v>
      </c>
      <c r="L40" s="1">
        <v>7801.32</v>
      </c>
      <c r="M40" s="1">
        <v>7196.45</v>
      </c>
      <c r="N40" s="1">
        <v>7200.28</v>
      </c>
      <c r="O40" s="1">
        <v>7208.11</v>
      </c>
      <c r="P40" s="1">
        <v>7194.38</v>
      </c>
      <c r="Q40" s="1">
        <v>7191.89</v>
      </c>
      <c r="R40" s="1">
        <v>7335.98</v>
      </c>
      <c r="S40" s="1">
        <v>7820.03</v>
      </c>
      <c r="T40" s="1">
        <v>7190.02</v>
      </c>
      <c r="U40" s="1">
        <v>7273.66</v>
      </c>
      <c r="V40" s="1">
        <v>7226.71</v>
      </c>
      <c r="W40" s="1">
        <v>7195.96</v>
      </c>
      <c r="X40" s="1">
        <v>7204.82</v>
      </c>
      <c r="Y40" s="1">
        <v>7201.62</v>
      </c>
      <c r="Z40" s="1">
        <v>7727.58</v>
      </c>
      <c r="AA40" s="1"/>
      <c r="AB40" s="1"/>
      <c r="AC40" s="1"/>
      <c r="AD40" s="1"/>
      <c r="AE40" s="1"/>
    </row>
    <row r="44" spans="1:31" x14ac:dyDescent="0.2">
      <c r="A44" s="1"/>
      <c r="B44" s="2" t="s">
        <v>2329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2">
      <c r="A45" s="1"/>
      <c r="B45" s="2" t="s">
        <v>2330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2">
      <c r="A46" s="1"/>
      <c r="B46" s="2" t="s">
        <v>2331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50" spans="1:29" x14ac:dyDescent="0.2">
      <c r="A50" s="1" t="s">
        <v>394</v>
      </c>
      <c r="B50" s="1">
        <v>1.27888695E-9</v>
      </c>
      <c r="C50" s="1">
        <v>1.2865297499999998E-9</v>
      </c>
      <c r="D50" s="1">
        <v>1.29203085E-9</v>
      </c>
      <c r="E50" s="1">
        <v>1.4289495E-9</v>
      </c>
      <c r="F50" s="1">
        <v>1.4415241500000001E-9</v>
      </c>
      <c r="G50" s="1">
        <v>1.3344902999999999E-9</v>
      </c>
      <c r="H50" s="1">
        <v>1.1921745E-9</v>
      </c>
      <c r="I50" s="1">
        <v>1.2350431499999999E-9</v>
      </c>
      <c r="J50" s="1">
        <v>1.18983315E-9</v>
      </c>
      <c r="K50" s="1">
        <v>1.20350505E-9</v>
      </c>
      <c r="L50" s="1">
        <v>1.4227487999999999E-9</v>
      </c>
      <c r="M50" s="1">
        <v>1.197141E-9</v>
      </c>
      <c r="N50" s="1">
        <v>1.2034736999999999E-9</v>
      </c>
      <c r="O50" s="1">
        <v>1.2037212E-9</v>
      </c>
      <c r="P50" s="1">
        <v>1.2146920500000001E-9</v>
      </c>
      <c r="Q50" s="1">
        <v>1.1866618499999999E-9</v>
      </c>
      <c r="R50" s="1">
        <v>1.3335597000000002E-9</v>
      </c>
      <c r="S50" s="1">
        <v>1.4615485499999999E-9</v>
      </c>
      <c r="T50" s="1">
        <v>1.24561635E-9</v>
      </c>
      <c r="U50" s="1">
        <v>1.2054768000000001E-9</v>
      </c>
      <c r="V50" s="1">
        <v>1.1924071499999999E-9</v>
      </c>
      <c r="W50" s="1">
        <v>1.2904600499999999E-9</v>
      </c>
      <c r="X50" s="1">
        <v>1.2932865000000001E-9</v>
      </c>
      <c r="Y50" s="1">
        <v>1.21690965E-9</v>
      </c>
      <c r="Z50" s="1">
        <v>1.4093145E-9</v>
      </c>
      <c r="AA50" s="1">
        <v>1.3473537E-9</v>
      </c>
      <c r="AB50" s="1">
        <v>1.1942040000000001E-9</v>
      </c>
      <c r="AC50" s="1">
        <v>1.1980188E-9</v>
      </c>
    </row>
    <row r="51" spans="1:29" x14ac:dyDescent="0.2">
      <c r="A51" s="1" t="s">
        <v>393</v>
      </c>
      <c r="B51" s="1">
        <v>1.25610705E-9</v>
      </c>
      <c r="C51" s="1">
        <v>1.2266331000000001E-9</v>
      </c>
      <c r="D51" s="1">
        <v>1.313433E-9</v>
      </c>
      <c r="E51" s="1">
        <v>1.5281161499999999E-9</v>
      </c>
      <c r="F51" s="1">
        <v>1.3189109999999999E-9</v>
      </c>
      <c r="G51" s="1">
        <v>1.2619777500000001E-9</v>
      </c>
      <c r="H51" s="1">
        <v>1.2350580000000001E-9</v>
      </c>
      <c r="I51" s="1">
        <v>1.2053035500000001E-9</v>
      </c>
      <c r="J51" s="1">
        <v>1.23180585E-9</v>
      </c>
      <c r="K51" s="1">
        <v>1.2170202000000001E-9</v>
      </c>
      <c r="L51" s="1">
        <v>1.3780832999999999E-9</v>
      </c>
      <c r="M51" s="1">
        <v>1.1941842E-9</v>
      </c>
      <c r="N51" s="1">
        <v>1.1880461999999999E-9</v>
      </c>
      <c r="O51" s="1">
        <v>1.2034159499999999E-9</v>
      </c>
      <c r="P51" s="1">
        <v>1.21239525E-9</v>
      </c>
      <c r="Q51" s="1">
        <v>1.1876898E-9</v>
      </c>
      <c r="R51" s="1">
        <v>1.4757682499999998E-9</v>
      </c>
      <c r="S51" s="1">
        <v>1.2903049499999999E-9</v>
      </c>
      <c r="T51" s="1">
        <v>1.2225493500000001E-9</v>
      </c>
      <c r="U51" s="1">
        <v>1.2001538999999998E-9</v>
      </c>
      <c r="V51" s="1">
        <v>1.2006010499999999E-9</v>
      </c>
      <c r="W51" s="1">
        <v>1.3000894499999998E-9</v>
      </c>
      <c r="X51" s="1">
        <v>1.3114760999999999E-9</v>
      </c>
      <c r="Y51" s="1">
        <v>1.23433695E-9</v>
      </c>
      <c r="Z51" s="1">
        <v>1.5009604499999999E-9</v>
      </c>
      <c r="AA51" s="1">
        <v>1.3601131499999999E-9</v>
      </c>
      <c r="AB51" s="1">
        <v>1.2546963000000001E-9</v>
      </c>
      <c r="AC51" s="1">
        <v>1.1960586000000001E-9</v>
      </c>
    </row>
    <row r="52" spans="1:29" x14ac:dyDescent="0.2">
      <c r="A52" s="1" t="s">
        <v>395</v>
      </c>
      <c r="B52" s="1">
        <v>1.54678095E-9</v>
      </c>
      <c r="C52" s="1">
        <v>1.5461258999999998E-9</v>
      </c>
      <c r="D52" s="1">
        <v>1.5463882499999999E-9</v>
      </c>
      <c r="E52" s="1">
        <v>1.5460714499999999E-9</v>
      </c>
      <c r="F52" s="1">
        <v>1.5469492500000001E-9</v>
      </c>
      <c r="G52" s="1">
        <v>1.546611E-9</v>
      </c>
      <c r="H52" s="1">
        <v>1.54735515E-9</v>
      </c>
      <c r="I52" s="1">
        <v>1.5459031500000002E-9</v>
      </c>
      <c r="J52" s="1">
        <v>1.5463898999999998E-9</v>
      </c>
      <c r="K52" s="1">
        <v>1.5472165499999999E-9</v>
      </c>
      <c r="L52" s="1">
        <v>1.54598235E-9</v>
      </c>
      <c r="M52" s="1">
        <v>1.54582395E-9</v>
      </c>
      <c r="N52" s="1">
        <v>1.5467891999999999E-9</v>
      </c>
      <c r="O52" s="1">
        <v>1.5471026999999998E-9</v>
      </c>
      <c r="P52" s="1">
        <v>1.5457975499999998E-9</v>
      </c>
      <c r="Q52" s="1">
        <v>1.5464955E-9</v>
      </c>
      <c r="R52" s="1">
        <v>1.54723635E-9</v>
      </c>
      <c r="S52" s="1">
        <v>1.5461687999999997E-9</v>
      </c>
      <c r="T52" s="1">
        <v>1.5467248500000001E-9</v>
      </c>
      <c r="U52" s="1">
        <v>1.54609125E-9</v>
      </c>
      <c r="V52" s="1">
        <v>1.5472033499999998E-9</v>
      </c>
      <c r="W52" s="1">
        <v>1.54715385E-9</v>
      </c>
      <c r="X52" s="1">
        <v>1.5463041000000002E-9</v>
      </c>
      <c r="Y52" s="1">
        <v>1.5472545E-9</v>
      </c>
      <c r="Z52" s="1">
        <v>1.54591305E-9</v>
      </c>
      <c r="AA52" s="1">
        <v>1.5469212E-9</v>
      </c>
      <c r="AB52" s="1">
        <v>1.5470333999999998E-9</v>
      </c>
      <c r="AC52" s="1">
        <v>1.547073E-9</v>
      </c>
    </row>
    <row r="53" spans="1:29" x14ac:dyDescent="0.2">
      <c r="A53" s="1" t="s">
        <v>398</v>
      </c>
      <c r="B53" s="1">
        <v>1.5472924500000001E-9</v>
      </c>
      <c r="C53" s="1">
        <v>1.54666545E-9</v>
      </c>
      <c r="D53" s="1">
        <v>1.5458157E-9</v>
      </c>
      <c r="E53" s="1">
        <v>1.5470069999999999E-9</v>
      </c>
      <c r="F53" s="1">
        <v>1.5463568999999999E-9</v>
      </c>
      <c r="G53" s="1">
        <v>1.5464987999999998E-9</v>
      </c>
      <c r="H53" s="1">
        <v>1.5466951500000002E-9</v>
      </c>
      <c r="I53" s="1">
        <v>1.5471224999999999E-9</v>
      </c>
      <c r="J53" s="1">
        <v>1.5466390499999998E-9</v>
      </c>
      <c r="K53" s="1">
        <v>1.5457859999999999E-9</v>
      </c>
      <c r="L53" s="1">
        <v>1.5460533000000001E-9</v>
      </c>
      <c r="M53" s="1">
        <v>1.5463932000000001E-9</v>
      </c>
      <c r="N53" s="1">
        <v>1.54637175E-9</v>
      </c>
      <c r="O53" s="1">
        <v>1.5457579499999998E-9</v>
      </c>
      <c r="P53" s="1">
        <v>1.5461226E-9</v>
      </c>
      <c r="Q53" s="1">
        <v>1.54675125E-9</v>
      </c>
      <c r="R53" s="1">
        <v>1.5470565000000002E-9</v>
      </c>
      <c r="S53" s="1">
        <v>1.5458833500000001E-9</v>
      </c>
      <c r="T53" s="1">
        <v>1.54643445E-9</v>
      </c>
      <c r="U53" s="1">
        <v>1.5471835500000001E-9</v>
      </c>
      <c r="V53" s="1">
        <v>1.5459757499999998E-9</v>
      </c>
      <c r="W53" s="1">
        <v>1.5460137000000001E-9</v>
      </c>
      <c r="X53" s="1">
        <v>1.5465796499999997E-9</v>
      </c>
      <c r="Y53" s="1">
        <v>1.5473254499999999E-9</v>
      </c>
      <c r="Z53" s="1">
        <v>1.5459608999999998E-9</v>
      </c>
      <c r="AA53" s="1">
        <v>1.5458519999999998E-9</v>
      </c>
      <c r="AB53" s="1">
        <v>1.5457859999999999E-9</v>
      </c>
      <c r="AC53" s="1">
        <v>1.5462281999999998E-9</v>
      </c>
    </row>
    <row r="54" spans="1:29" x14ac:dyDescent="0.2">
      <c r="A54" s="1" t="s">
        <v>397</v>
      </c>
      <c r="B54" s="1">
        <v>1.5465301499999999E-9</v>
      </c>
      <c r="C54" s="1">
        <v>1.5470927999999999E-9</v>
      </c>
      <c r="D54" s="1">
        <v>1.5464509499999999E-9</v>
      </c>
      <c r="E54" s="1">
        <v>1.5472825499999998E-9</v>
      </c>
      <c r="F54" s="1">
        <v>1.5457266000000002E-9</v>
      </c>
      <c r="G54" s="1">
        <v>1.547073E-9</v>
      </c>
      <c r="H54" s="1">
        <v>1.5465119999999999E-9</v>
      </c>
      <c r="I54" s="1">
        <v>1.5473105999999999E-9</v>
      </c>
      <c r="J54" s="1">
        <v>1.5470185500000001E-9</v>
      </c>
      <c r="K54" s="1">
        <v>1.5471439499999997E-9</v>
      </c>
      <c r="L54" s="1">
        <v>1.5466687499999998E-9</v>
      </c>
      <c r="M54" s="1">
        <v>1.54639485E-9</v>
      </c>
      <c r="N54" s="1">
        <v>1.5465021E-9</v>
      </c>
      <c r="O54" s="1">
        <v>1.5472891500000001E-9</v>
      </c>
      <c r="P54" s="1">
        <v>1.546644E-9</v>
      </c>
      <c r="Q54" s="1">
        <v>1.5457761E-9</v>
      </c>
      <c r="R54" s="1">
        <v>1.54720665E-9</v>
      </c>
      <c r="S54" s="1">
        <v>1.54682055E-9</v>
      </c>
      <c r="T54" s="1">
        <v>1.5460401E-9</v>
      </c>
      <c r="U54" s="1">
        <v>1.5473650499999999E-9</v>
      </c>
      <c r="V54" s="1">
        <v>1.5463057499999999E-9</v>
      </c>
      <c r="W54" s="1">
        <v>1.5459113999999999E-9</v>
      </c>
      <c r="X54" s="1">
        <v>1.54735515E-9</v>
      </c>
      <c r="Y54" s="1">
        <v>1.5469443E-9</v>
      </c>
      <c r="Z54" s="1">
        <v>1.5463057499999999E-9</v>
      </c>
      <c r="AA54" s="1">
        <v>1.54701195E-9</v>
      </c>
      <c r="AB54" s="1">
        <v>1.5473601000000002E-9</v>
      </c>
      <c r="AC54" s="1">
        <v>1.54666545E-9</v>
      </c>
    </row>
    <row r="55" spans="1:29" x14ac:dyDescent="0.2">
      <c r="A55" s="1" t="s">
        <v>390</v>
      </c>
      <c r="B55" s="1">
        <v>1.5465796499999997E-9</v>
      </c>
      <c r="C55" s="1">
        <v>1.5457859999999999E-9</v>
      </c>
      <c r="D55" s="1">
        <v>1.5468486000000001E-9</v>
      </c>
      <c r="E55" s="1">
        <v>1.5467083499999998E-9</v>
      </c>
      <c r="F55" s="1">
        <v>1.54658295E-9</v>
      </c>
      <c r="G55" s="1">
        <v>1.5459641999999998E-9</v>
      </c>
      <c r="H55" s="1">
        <v>1.5457777499999999E-9</v>
      </c>
      <c r="I55" s="1">
        <v>1.54628595E-9</v>
      </c>
      <c r="J55" s="1">
        <v>1.5458355000000001E-9</v>
      </c>
      <c r="K55" s="1">
        <v>1.54669845E-9</v>
      </c>
      <c r="L55" s="1">
        <v>1.54670505E-9</v>
      </c>
      <c r="M55" s="1">
        <v>1.5464113500000001E-9</v>
      </c>
      <c r="N55" s="1">
        <v>1.5470961000000002E-9</v>
      </c>
      <c r="O55" s="1">
        <v>1.5461110500000003E-9</v>
      </c>
      <c r="P55" s="1">
        <v>1.5470531999999999E-9</v>
      </c>
      <c r="Q55" s="1">
        <v>1.5473469000000001E-9</v>
      </c>
      <c r="R55" s="1">
        <v>1.5462051000000001E-9</v>
      </c>
      <c r="S55" s="1">
        <v>1.54723305E-9</v>
      </c>
      <c r="T55" s="1">
        <v>1.5465581999999999E-9</v>
      </c>
      <c r="U55" s="1">
        <v>1.5471654000000001E-9</v>
      </c>
      <c r="V55" s="1">
        <v>1.5462479999999999E-9</v>
      </c>
      <c r="W55" s="1">
        <v>1.5461044499999998E-9</v>
      </c>
      <c r="X55" s="1">
        <v>1.5464179500000001E-9</v>
      </c>
      <c r="Y55" s="1">
        <v>1.546611E-9</v>
      </c>
      <c r="Z55" s="1">
        <v>1.5461291999999999E-9</v>
      </c>
      <c r="AA55" s="1">
        <v>1.5460846499999997E-9</v>
      </c>
      <c r="AB55" s="1">
        <v>1.5465219000000001E-9</v>
      </c>
      <c r="AC55" s="1">
        <v>1.5470003999999999E-9</v>
      </c>
    </row>
    <row r="56" spans="1:29" x14ac:dyDescent="0.2">
      <c r="A56" s="1" t="s">
        <v>391</v>
      </c>
      <c r="B56" s="1">
        <v>1.5464608499999999E-9</v>
      </c>
      <c r="C56" s="1">
        <v>1.5468535500000002E-9</v>
      </c>
      <c r="D56" s="1">
        <v>1.5464311499999998E-9</v>
      </c>
      <c r="E56" s="1">
        <v>1.5463766999999998E-9</v>
      </c>
      <c r="F56" s="1">
        <v>1.5458074499999999E-9</v>
      </c>
      <c r="G56" s="1">
        <v>1.5458783999999999E-9</v>
      </c>
      <c r="H56" s="1">
        <v>1.5468469499999999E-9</v>
      </c>
      <c r="I56" s="1">
        <v>1.5467330999999998E-9</v>
      </c>
      <c r="J56" s="1">
        <v>1.5471456E-9</v>
      </c>
      <c r="K56" s="1">
        <v>1.5462529499999998E-9</v>
      </c>
      <c r="L56" s="1">
        <v>1.5471835500000001E-9</v>
      </c>
      <c r="M56" s="1">
        <v>1.5460169999999999E-9</v>
      </c>
      <c r="N56" s="1">
        <v>1.5460863E-9</v>
      </c>
      <c r="O56" s="1">
        <v>1.5468370499999999E-9</v>
      </c>
      <c r="P56" s="1">
        <v>1.5466836E-9</v>
      </c>
      <c r="Q56" s="1">
        <v>1.5473007E-9</v>
      </c>
      <c r="R56" s="1">
        <v>1.5461423999999999E-9</v>
      </c>
      <c r="S56" s="1">
        <v>1.5472908E-9</v>
      </c>
      <c r="T56" s="1">
        <v>1.5470185500000001E-9</v>
      </c>
      <c r="U56" s="1">
        <v>1.54624965E-9</v>
      </c>
      <c r="V56" s="1">
        <v>1.5466208999999999E-9</v>
      </c>
      <c r="W56" s="1">
        <v>1.5458519999999998E-9</v>
      </c>
      <c r="X56" s="1">
        <v>1.5460137000000001E-9</v>
      </c>
      <c r="Y56" s="1">
        <v>1.5473287500000001E-9</v>
      </c>
      <c r="Z56" s="1">
        <v>1.5472165499999999E-9</v>
      </c>
      <c r="AA56" s="1">
        <v>1.5457266000000002E-9</v>
      </c>
      <c r="AB56" s="1">
        <v>1.5463866E-9</v>
      </c>
      <c r="AC56" s="1">
        <v>1.5461869499999999E-9</v>
      </c>
    </row>
    <row r="57" spans="1:29" x14ac:dyDescent="0.2">
      <c r="A57" s="1" t="s">
        <v>392</v>
      </c>
      <c r="B57" s="1">
        <v>1.52384265E-9</v>
      </c>
      <c r="C57" s="1">
        <v>1.18710075E-9</v>
      </c>
      <c r="D57" s="1">
        <v>1.19146005E-9</v>
      </c>
      <c r="E57" s="1">
        <v>1.3843896000000001E-9</v>
      </c>
      <c r="F57" s="1">
        <v>1.32335445E-9</v>
      </c>
      <c r="G57" s="1">
        <v>1.5338894999999998E-9</v>
      </c>
      <c r="H57" s="1">
        <v>1.25895165E-9</v>
      </c>
      <c r="I57" s="1">
        <v>1.23929025E-9</v>
      </c>
      <c r="J57" s="1">
        <v>1.4653683000000002E-9</v>
      </c>
      <c r="K57" s="1">
        <v>1.21250415E-9</v>
      </c>
      <c r="L57" s="1">
        <v>1.3867870500000002E-9</v>
      </c>
      <c r="M57" s="1">
        <v>1.1908281000000001E-9</v>
      </c>
      <c r="N57" s="1">
        <v>1.20423105E-9</v>
      </c>
      <c r="O57" s="1">
        <v>1.25659875E-9</v>
      </c>
      <c r="P57" s="1">
        <v>1.1966658000000001E-9</v>
      </c>
      <c r="Q57" s="1">
        <v>1.4125237500000002E-9</v>
      </c>
      <c r="R57" s="1">
        <v>1.50773865E-9</v>
      </c>
      <c r="S57" s="1">
        <v>1.3811358000000002E-9</v>
      </c>
      <c r="T57" s="1">
        <v>1.4927187E-9</v>
      </c>
      <c r="U57" s="1">
        <v>1.46159475E-9</v>
      </c>
      <c r="V57" s="1">
        <v>1.23795375E-9</v>
      </c>
      <c r="W57" s="1">
        <v>1.19290545E-9</v>
      </c>
      <c r="X57" s="1">
        <v>1.1887953E-9</v>
      </c>
      <c r="Y57" s="1">
        <v>1.4872671000000001E-9</v>
      </c>
      <c r="Z57" s="1">
        <v>1.4420505000000002E-9</v>
      </c>
      <c r="AA57" s="1">
        <v>1.48245405E-9</v>
      </c>
      <c r="AB57" s="1">
        <v>1.46679885E-9</v>
      </c>
      <c r="AC57" s="1">
        <v>1.2383777999999999E-9</v>
      </c>
    </row>
    <row r="58" spans="1:29" x14ac:dyDescent="0.2">
      <c r="A58" s="1" t="s">
        <v>396</v>
      </c>
      <c r="B58" s="1">
        <v>1.5458091000000002E-9</v>
      </c>
      <c r="C58" s="1">
        <v>1.5471654000000001E-9</v>
      </c>
      <c r="D58" s="1">
        <v>1.5465119999999999E-9</v>
      </c>
      <c r="E58" s="1">
        <v>1.5468271499999998E-9</v>
      </c>
      <c r="F58" s="1">
        <v>1.5459806999999999E-9</v>
      </c>
      <c r="G58" s="1">
        <v>1.545885E-9</v>
      </c>
      <c r="H58" s="1">
        <v>1.54703835E-9</v>
      </c>
      <c r="I58" s="1">
        <v>1.5462199500000003E-9</v>
      </c>
      <c r="J58" s="1">
        <v>1.54582395E-9</v>
      </c>
      <c r="K58" s="1">
        <v>1.5468453E-9</v>
      </c>
      <c r="L58" s="1">
        <v>1.5459476999999999E-9</v>
      </c>
      <c r="M58" s="1">
        <v>1.5457859999999999E-9</v>
      </c>
      <c r="N58" s="1">
        <v>1.5461919E-9</v>
      </c>
      <c r="O58" s="1">
        <v>1.5471753E-9</v>
      </c>
      <c r="P58" s="1">
        <v>1.5469129500000001E-9</v>
      </c>
      <c r="Q58" s="1">
        <v>1.54640805E-9</v>
      </c>
      <c r="R58" s="1">
        <v>1.54612755E-9</v>
      </c>
      <c r="S58" s="1">
        <v>1.5458635500000002E-9</v>
      </c>
      <c r="T58" s="1">
        <v>1.54712745E-9</v>
      </c>
      <c r="U58" s="1">
        <v>1.5461638499999999E-9</v>
      </c>
      <c r="V58" s="1">
        <v>1.5461754000000001E-9</v>
      </c>
      <c r="W58" s="1">
        <v>1.5463288500000002E-9</v>
      </c>
      <c r="X58" s="1">
        <v>1.5458618999999999E-9</v>
      </c>
      <c r="Y58" s="1">
        <v>1.5473056500000002E-9</v>
      </c>
      <c r="Z58" s="1">
        <v>1.5462694500000001E-9</v>
      </c>
      <c r="AA58" s="1">
        <v>1.5465119999999999E-9</v>
      </c>
      <c r="AB58" s="1">
        <v>1.5467644500000001E-9</v>
      </c>
      <c r="AC58" s="1">
        <v>1.5457893000000001E-9</v>
      </c>
    </row>
    <row r="59" spans="1:29" x14ac:dyDescent="0.2">
      <c r="A59" s="1" t="s">
        <v>389</v>
      </c>
      <c r="B59" s="1">
        <v>1.5460698E-9</v>
      </c>
      <c r="C59" s="1">
        <v>1.5459212999999998E-9</v>
      </c>
      <c r="D59" s="1">
        <v>1.5466274999999999E-9</v>
      </c>
      <c r="E59" s="1">
        <v>1.5464658E-9</v>
      </c>
      <c r="F59" s="1">
        <v>1.54734525E-9</v>
      </c>
      <c r="G59" s="1">
        <v>1.5464658E-9</v>
      </c>
      <c r="H59" s="1">
        <v>1.5469591499999999E-9</v>
      </c>
      <c r="I59" s="1">
        <v>1.5465334500000001E-9</v>
      </c>
      <c r="J59" s="1">
        <v>1.5465351E-9</v>
      </c>
      <c r="K59" s="1">
        <v>1.5457249500000002E-9</v>
      </c>
      <c r="L59" s="1">
        <v>1.5472016999999999E-9</v>
      </c>
      <c r="M59" s="1">
        <v>1.5466885499999999E-9</v>
      </c>
      <c r="N59" s="1">
        <v>1.5464311499999998E-9</v>
      </c>
      <c r="O59" s="1">
        <v>1.5462133499999998E-9</v>
      </c>
      <c r="P59" s="1">
        <v>1.5465548999999997E-9</v>
      </c>
      <c r="Q59" s="1">
        <v>1.5473683500000001E-9</v>
      </c>
      <c r="R59" s="1">
        <v>1.5463486499999999E-9</v>
      </c>
      <c r="S59" s="1">
        <v>1.546578E-9</v>
      </c>
      <c r="T59" s="1">
        <v>1.546083E-9</v>
      </c>
      <c r="U59" s="1">
        <v>1.5459542999999999E-9</v>
      </c>
      <c r="V59" s="1">
        <v>1.54589985E-9</v>
      </c>
      <c r="W59" s="1">
        <v>1.5461523E-9</v>
      </c>
      <c r="X59" s="1">
        <v>1.5465994499999998E-9</v>
      </c>
      <c r="Y59" s="1">
        <v>1.5465268500000001E-9</v>
      </c>
      <c r="Z59" s="1">
        <v>1.5473617500000001E-9</v>
      </c>
      <c r="AA59" s="1">
        <v>1.5464756999999999E-9</v>
      </c>
      <c r="AB59" s="1">
        <v>1.5464146499999999E-9</v>
      </c>
      <c r="AC59" s="1">
        <v>1.5458289000000001E-9</v>
      </c>
    </row>
    <row r="60" spans="1:29" x14ac:dyDescent="0.2">
      <c r="A60" s="1" t="s">
        <v>387</v>
      </c>
      <c r="B60" s="1">
        <v>1.5473469000000001E-9</v>
      </c>
      <c r="C60" s="1">
        <v>1.5471076499999999E-9</v>
      </c>
      <c r="D60" s="1">
        <v>1.54690305E-9</v>
      </c>
      <c r="E60" s="1">
        <v>1.5464212499999999E-9</v>
      </c>
      <c r="F60" s="1">
        <v>1.5460054499999997E-9</v>
      </c>
      <c r="G60" s="1">
        <v>1.5471901500000002E-9</v>
      </c>
      <c r="H60" s="1">
        <v>1.5459476999999999E-9</v>
      </c>
      <c r="I60" s="1">
        <v>1.5472775999999999E-9</v>
      </c>
      <c r="J60" s="1">
        <v>1.54685025E-9</v>
      </c>
      <c r="K60" s="1">
        <v>1.5471835500000001E-9</v>
      </c>
      <c r="L60" s="1">
        <v>1.5472149E-9</v>
      </c>
      <c r="M60" s="1">
        <v>1.5467083499999998E-9</v>
      </c>
      <c r="N60" s="1">
        <v>1.54701195E-9</v>
      </c>
      <c r="O60" s="1">
        <v>1.5473617500000001E-9</v>
      </c>
      <c r="P60" s="1">
        <v>1.5470069999999999E-9</v>
      </c>
      <c r="Q60" s="1">
        <v>1.5463437000000002E-9</v>
      </c>
      <c r="R60" s="1">
        <v>1.5473369999999998E-9</v>
      </c>
      <c r="S60" s="1">
        <v>1.5469706999999999E-9</v>
      </c>
      <c r="T60" s="1">
        <v>1.5463305000000001E-9</v>
      </c>
      <c r="U60" s="1">
        <v>1.5465615000000002E-9</v>
      </c>
      <c r="V60" s="1">
        <v>1.5471786E-9</v>
      </c>
      <c r="W60" s="1">
        <v>1.5465879000000001E-9</v>
      </c>
      <c r="X60" s="1">
        <v>1.5457744500000001E-9</v>
      </c>
      <c r="Y60" s="1">
        <v>1.5463701000000001E-9</v>
      </c>
      <c r="Z60" s="1">
        <v>1.5468486000000001E-9</v>
      </c>
      <c r="AA60" s="1">
        <v>1.5469971E-9</v>
      </c>
      <c r="AB60" s="1">
        <v>1.54635525E-9</v>
      </c>
      <c r="AC60" s="1">
        <v>1.5462348000000002E-9</v>
      </c>
    </row>
    <row r="61" spans="1:29" x14ac:dyDescent="0.2">
      <c r="A61" s="1" t="s">
        <v>388</v>
      </c>
      <c r="B61" s="1">
        <v>1.5458503500000001E-9</v>
      </c>
      <c r="C61" s="1">
        <v>1.54703835E-9</v>
      </c>
      <c r="D61" s="1">
        <v>1.5467166000000002E-9</v>
      </c>
      <c r="E61" s="1">
        <v>1.5460582499999998E-9</v>
      </c>
      <c r="F61" s="1">
        <v>1.5460269000000001E-9</v>
      </c>
      <c r="G61" s="1">
        <v>1.5458916E-9</v>
      </c>
      <c r="H61" s="1">
        <v>1.5463404E-9</v>
      </c>
      <c r="I61" s="1">
        <v>1.54685025E-9</v>
      </c>
      <c r="J61" s="1">
        <v>1.5461457E-9</v>
      </c>
      <c r="K61" s="1">
        <v>1.5459361499999997E-9</v>
      </c>
      <c r="L61" s="1">
        <v>1.5458223000000001E-9</v>
      </c>
      <c r="M61" s="1">
        <v>1.54711425E-9</v>
      </c>
      <c r="N61" s="1">
        <v>1.5461819999999999E-9</v>
      </c>
      <c r="O61" s="1">
        <v>1.54701525E-9</v>
      </c>
      <c r="P61" s="1">
        <v>1.5472545E-9</v>
      </c>
      <c r="Q61" s="1">
        <v>1.5457826999999996E-9</v>
      </c>
      <c r="R61" s="1">
        <v>1.5461605500000001E-9</v>
      </c>
      <c r="S61" s="1">
        <v>1.5471819E-9</v>
      </c>
      <c r="T61" s="1">
        <v>1.54575465E-9</v>
      </c>
      <c r="U61" s="1">
        <v>1.54602195E-9</v>
      </c>
      <c r="V61" s="1">
        <v>1.5461572499999999E-9</v>
      </c>
      <c r="W61" s="1">
        <v>1.5459361499999997E-9</v>
      </c>
      <c r="X61" s="1">
        <v>1.5460103999999998E-9</v>
      </c>
      <c r="Y61" s="1">
        <v>1.54651035E-9</v>
      </c>
      <c r="Z61" s="1">
        <v>1.5464096999999999E-9</v>
      </c>
      <c r="AA61" s="1">
        <v>1.54601535E-9</v>
      </c>
      <c r="AB61" s="1">
        <v>1.54678095E-9</v>
      </c>
      <c r="AC61" s="1">
        <v>1.5458420999999997E-9</v>
      </c>
    </row>
    <row r="62" spans="1:29" x14ac:dyDescent="0.2">
      <c r="A62" s="1" t="s">
        <v>385</v>
      </c>
      <c r="B62" s="1">
        <v>1.5462545999999999E-9</v>
      </c>
      <c r="C62" s="1">
        <v>1.5473304E-9</v>
      </c>
      <c r="D62" s="1">
        <v>1.5466605000000003E-9</v>
      </c>
      <c r="E62" s="1">
        <v>1.5472528500000001E-9</v>
      </c>
      <c r="F62" s="1">
        <v>1.5459410999999999E-9</v>
      </c>
      <c r="G62" s="1">
        <v>1.54713075E-9</v>
      </c>
      <c r="H62" s="1">
        <v>1.5471835500000001E-9</v>
      </c>
      <c r="I62" s="1">
        <v>1.5461192999999998E-9</v>
      </c>
      <c r="J62" s="1">
        <v>1.5463833000000002E-9</v>
      </c>
      <c r="K62" s="1">
        <v>1.54640805E-9</v>
      </c>
      <c r="L62" s="1">
        <v>1.5463222499999998E-9</v>
      </c>
      <c r="M62" s="1">
        <v>1.5463849500000001E-9</v>
      </c>
      <c r="N62" s="1">
        <v>1.5459378000000001E-9</v>
      </c>
      <c r="O62" s="1">
        <v>1.5473238E-9</v>
      </c>
      <c r="P62" s="1">
        <v>1.5472709999999999E-9</v>
      </c>
      <c r="Q62" s="1">
        <v>1.5473073000000001E-9</v>
      </c>
      <c r="R62" s="1">
        <v>1.5459955499999999E-9</v>
      </c>
      <c r="S62" s="1">
        <v>1.5457299E-9</v>
      </c>
      <c r="T62" s="1">
        <v>1.5467100000000001E-9</v>
      </c>
      <c r="U62" s="1">
        <v>1.5458140499999999E-9</v>
      </c>
      <c r="V62" s="1">
        <v>1.5458255999999999E-9</v>
      </c>
      <c r="W62" s="1">
        <v>1.5464575499999999E-9</v>
      </c>
      <c r="X62" s="1">
        <v>1.5458717999999999E-9</v>
      </c>
      <c r="Y62" s="1">
        <v>1.54621005E-9</v>
      </c>
      <c r="Z62" s="1">
        <v>1.5464162999999998E-9</v>
      </c>
      <c r="AA62" s="1">
        <v>1.5469789499999998E-9</v>
      </c>
      <c r="AB62" s="1">
        <v>1.5470581500000001E-9</v>
      </c>
      <c r="AC62" s="1">
        <v>1.5468667500000001E-9</v>
      </c>
    </row>
    <row r="63" spans="1:29" x14ac:dyDescent="0.2">
      <c r="A63" s="1" t="s">
        <v>386</v>
      </c>
      <c r="B63" s="1">
        <v>1.54638E-9</v>
      </c>
      <c r="C63" s="1">
        <v>1.54628595E-9</v>
      </c>
      <c r="D63" s="1">
        <v>1.5465087000000001E-9</v>
      </c>
      <c r="E63" s="1">
        <v>1.5458223000000001E-9</v>
      </c>
      <c r="F63" s="1">
        <v>1.5460499999999998E-9</v>
      </c>
      <c r="G63" s="1">
        <v>1.5461556E-9</v>
      </c>
      <c r="H63" s="1">
        <v>1.54599225E-9</v>
      </c>
      <c r="I63" s="1">
        <v>1.5464196E-9</v>
      </c>
      <c r="J63" s="1">
        <v>1.54606815E-9</v>
      </c>
      <c r="K63" s="1">
        <v>1.5472973999999998E-9</v>
      </c>
      <c r="L63" s="1">
        <v>1.5469492500000001E-9</v>
      </c>
      <c r="M63" s="1">
        <v>1.545819E-9</v>
      </c>
      <c r="N63" s="1">
        <v>1.5469344000000001E-9</v>
      </c>
      <c r="O63" s="1">
        <v>1.5468189000000001E-9</v>
      </c>
      <c r="P63" s="1">
        <v>1.5467132999999999E-9</v>
      </c>
      <c r="Q63" s="1">
        <v>1.5466208999999999E-9</v>
      </c>
      <c r="R63" s="1">
        <v>1.5460301999999997E-9</v>
      </c>
      <c r="S63" s="1">
        <v>1.5466489499999997E-9</v>
      </c>
      <c r="T63" s="1">
        <v>1.5471191999999999E-9</v>
      </c>
      <c r="U63" s="1">
        <v>1.5462116999999999E-9</v>
      </c>
      <c r="V63" s="1">
        <v>1.54675125E-9</v>
      </c>
      <c r="W63" s="1">
        <v>1.5464311499999998E-9</v>
      </c>
      <c r="X63" s="1">
        <v>1.5470829000000001E-9</v>
      </c>
      <c r="Y63" s="1">
        <v>1.5472181999999998E-9</v>
      </c>
      <c r="Z63" s="1">
        <v>1.5466918499999999E-9</v>
      </c>
      <c r="AA63" s="1">
        <v>1.54704495E-9</v>
      </c>
      <c r="AB63" s="1">
        <v>1.5473634E-9</v>
      </c>
      <c r="AC63" s="1">
        <v>1.5467891999999999E-9</v>
      </c>
    </row>
    <row r="64" spans="1:29" x14ac:dyDescent="0.2">
      <c r="A64" s="1" t="s">
        <v>383</v>
      </c>
      <c r="B64" s="1">
        <v>1.54576125E-9</v>
      </c>
      <c r="C64" s="1">
        <v>1.54701525E-9</v>
      </c>
      <c r="D64" s="1">
        <v>1.54572165E-9</v>
      </c>
      <c r="E64" s="1">
        <v>1.5471109500000001E-9</v>
      </c>
      <c r="F64" s="1">
        <v>1.5467100000000001E-9</v>
      </c>
      <c r="G64" s="1">
        <v>1.5460566000000003E-9</v>
      </c>
      <c r="H64" s="1">
        <v>1.5462595500000001E-9</v>
      </c>
      <c r="I64" s="1">
        <v>1.5466159500000001E-9</v>
      </c>
      <c r="J64" s="1">
        <v>1.5471522000000001E-9</v>
      </c>
      <c r="K64" s="1">
        <v>1.5462727499999999E-9</v>
      </c>
      <c r="L64" s="1">
        <v>1.5467397000000001E-9</v>
      </c>
      <c r="M64" s="1">
        <v>1.5463998000000001E-9</v>
      </c>
      <c r="N64" s="1">
        <v>1.5469937999999998E-9</v>
      </c>
      <c r="O64" s="1">
        <v>1.5461786999999999E-9</v>
      </c>
      <c r="P64" s="1">
        <v>1.5458321999999999E-9</v>
      </c>
      <c r="Q64" s="1">
        <v>1.5468980999999999E-9</v>
      </c>
      <c r="R64" s="1">
        <v>1.5462116999999999E-9</v>
      </c>
      <c r="S64" s="1">
        <v>1.5465285E-9</v>
      </c>
      <c r="T64" s="1">
        <v>1.5473584500000003E-9</v>
      </c>
      <c r="U64" s="1">
        <v>1.54578435E-9</v>
      </c>
      <c r="V64" s="1">
        <v>1.54621665E-9</v>
      </c>
      <c r="W64" s="1">
        <v>1.5463387500000001E-9</v>
      </c>
      <c r="X64" s="1">
        <v>1.54722975E-9</v>
      </c>
      <c r="Y64" s="1">
        <v>1.5458932499999999E-9</v>
      </c>
      <c r="Z64" s="1">
        <v>1.5466241999999999E-9</v>
      </c>
      <c r="AA64" s="1">
        <v>1.5460533000000001E-9</v>
      </c>
      <c r="AB64" s="1">
        <v>1.5469525499999999E-9</v>
      </c>
      <c r="AC64" s="1">
        <v>1.5464872500000001E-9</v>
      </c>
    </row>
    <row r="65" spans="1:29" x14ac:dyDescent="0.2">
      <c r="A65" s="1" t="s">
        <v>384</v>
      </c>
      <c r="B65" s="1">
        <v>1.5459493499999998E-9</v>
      </c>
      <c r="C65" s="1">
        <v>1.5459576000000002E-9</v>
      </c>
      <c r="D65" s="1">
        <v>1.54652025E-9</v>
      </c>
      <c r="E65" s="1">
        <v>1.5462925499999998E-9</v>
      </c>
      <c r="F65" s="1">
        <v>1.547073E-9</v>
      </c>
      <c r="G65" s="1">
        <v>1.546677E-9</v>
      </c>
      <c r="H65" s="1">
        <v>1.5468848999999998E-9</v>
      </c>
      <c r="I65" s="1">
        <v>1.54609125E-9</v>
      </c>
      <c r="J65" s="1">
        <v>1.5470399999999999E-9</v>
      </c>
      <c r="K65" s="1">
        <v>1.5471472499999999E-9</v>
      </c>
      <c r="L65" s="1">
        <v>1.5462628500000001E-9</v>
      </c>
      <c r="M65" s="1">
        <v>1.547073E-9</v>
      </c>
      <c r="N65" s="1">
        <v>1.5460698E-9</v>
      </c>
      <c r="O65" s="1">
        <v>1.5472495500000001E-9</v>
      </c>
      <c r="P65" s="1">
        <v>1.5469179E-9</v>
      </c>
      <c r="Q65" s="1">
        <v>1.5464641499999999E-9</v>
      </c>
      <c r="R65" s="1">
        <v>1.5473122499999998E-9</v>
      </c>
      <c r="S65" s="1">
        <v>1.5462018000000001E-9</v>
      </c>
      <c r="T65" s="1">
        <v>1.5459328500000001E-9</v>
      </c>
      <c r="U65" s="1">
        <v>1.5462809999999999E-9</v>
      </c>
      <c r="V65" s="1">
        <v>1.5463041000000002E-9</v>
      </c>
      <c r="W65" s="1">
        <v>1.5460797E-9</v>
      </c>
      <c r="X65" s="1">
        <v>1.5468073499999999E-9</v>
      </c>
      <c r="Y65" s="1">
        <v>1.5472792500000002E-9</v>
      </c>
      <c r="Z65" s="1">
        <v>1.5463701000000001E-9</v>
      </c>
      <c r="AA65" s="1">
        <v>1.5471191999999999E-9</v>
      </c>
      <c r="AB65" s="1">
        <v>1.5467545500000001E-9</v>
      </c>
      <c r="AC65" s="1">
        <v>1.5463618499999998E-9</v>
      </c>
    </row>
    <row r="66" spans="1:29" x14ac:dyDescent="0.2">
      <c r="A66" s="1" t="s">
        <v>378</v>
      </c>
      <c r="B66" s="1">
        <v>1.5469591499999999E-9</v>
      </c>
      <c r="C66" s="1">
        <v>1.5475366500000002E-9</v>
      </c>
      <c r="D66" s="1">
        <v>1.5473914499999998E-9</v>
      </c>
      <c r="E66" s="1">
        <v>1.5470218500000001E-9</v>
      </c>
      <c r="F66" s="1">
        <v>1.5483484499999999E-9</v>
      </c>
      <c r="G66" s="1">
        <v>1.5483105000000002E-9</v>
      </c>
      <c r="H66" s="1">
        <v>1.5484408499999999E-9</v>
      </c>
      <c r="I66" s="1">
        <v>1.5473337000000002E-9</v>
      </c>
      <c r="J66" s="1">
        <v>1.54765875E-9</v>
      </c>
      <c r="K66" s="1">
        <v>1.5472775999999999E-9</v>
      </c>
      <c r="L66" s="1">
        <v>1.54754655E-9</v>
      </c>
      <c r="M66" s="1">
        <v>1.54799535E-9</v>
      </c>
      <c r="N66" s="1">
        <v>1.5469624500000002E-9</v>
      </c>
      <c r="O66" s="1">
        <v>1.5479244000000001E-9</v>
      </c>
      <c r="P66" s="1">
        <v>1.5479144999999999E-9</v>
      </c>
      <c r="Q66" s="1">
        <v>1.5472743000000001E-9</v>
      </c>
      <c r="R66" s="1">
        <v>1.5479227500000002E-9</v>
      </c>
      <c r="S66" s="1">
        <v>1.5477462000000002E-9</v>
      </c>
      <c r="T66" s="1">
        <v>1.5478353000000001E-9</v>
      </c>
      <c r="U66" s="1">
        <v>1.5473914499999998E-9</v>
      </c>
      <c r="V66" s="1">
        <v>1.5473832000000001E-9</v>
      </c>
      <c r="W66" s="1">
        <v>1.5469872000000002E-9</v>
      </c>
      <c r="X66" s="1">
        <v>1.5472957499999999E-9</v>
      </c>
      <c r="Y66" s="1">
        <v>1.5474921E-9</v>
      </c>
      <c r="Z66" s="1">
        <v>1.5473798999999999E-9</v>
      </c>
      <c r="AA66" s="1">
        <v>1.5477990000000003E-9</v>
      </c>
      <c r="AB66" s="1">
        <v>1.5477725999999999E-9</v>
      </c>
      <c r="AC66" s="1">
        <v>1.5484309500000001E-9</v>
      </c>
    </row>
    <row r="67" spans="1:29" x14ac:dyDescent="0.2">
      <c r="A67" s="1" t="s">
        <v>380</v>
      </c>
      <c r="B67" s="1">
        <v>1.5473584500000003E-9</v>
      </c>
      <c r="C67" s="1">
        <v>1.54787325E-9</v>
      </c>
      <c r="D67" s="1">
        <v>1.5474987000000001E-9</v>
      </c>
      <c r="E67" s="1">
        <v>1.5473864999999999E-9</v>
      </c>
      <c r="F67" s="1">
        <v>1.5470581500000001E-9</v>
      </c>
      <c r="G67" s="1">
        <v>1.54758615E-9</v>
      </c>
      <c r="H67" s="1">
        <v>1.5469393499999998E-9</v>
      </c>
      <c r="I67" s="1">
        <v>1.54711755E-9</v>
      </c>
      <c r="J67" s="1">
        <v>1.5482939999999999E-9</v>
      </c>
      <c r="K67" s="1">
        <v>1.5481587E-9</v>
      </c>
      <c r="L67" s="1">
        <v>1.5481405500000002E-9</v>
      </c>
      <c r="M67" s="1">
        <v>1.5476752500000001E-9</v>
      </c>
      <c r="N67" s="1">
        <v>1.5481949999999999E-9</v>
      </c>
      <c r="O67" s="1">
        <v>1.54727595E-9</v>
      </c>
      <c r="P67" s="1">
        <v>1.5474458999999998E-9</v>
      </c>
      <c r="Q67" s="1">
        <v>1.5481026000000001E-9</v>
      </c>
      <c r="R67" s="1">
        <v>1.5469822500000001E-9</v>
      </c>
      <c r="S67" s="1">
        <v>1.5472808999999999E-9</v>
      </c>
      <c r="T67" s="1">
        <v>1.5477016500000001E-9</v>
      </c>
      <c r="U67" s="1">
        <v>1.5483616499999999E-9</v>
      </c>
      <c r="V67" s="1">
        <v>1.5474755999999998E-9</v>
      </c>
      <c r="W67" s="1">
        <v>1.5484556999999999E-9</v>
      </c>
      <c r="X67" s="1">
        <v>1.5474178500000002E-9</v>
      </c>
      <c r="Y67" s="1">
        <v>1.5475894499999999E-9</v>
      </c>
      <c r="Z67" s="1">
        <v>1.5481191000000002E-9</v>
      </c>
      <c r="AA67" s="1">
        <v>1.5475614E-9</v>
      </c>
      <c r="AB67" s="1">
        <v>1.54703835E-9</v>
      </c>
      <c r="AC67" s="1">
        <v>1.5477429E-9</v>
      </c>
    </row>
    <row r="68" spans="1:29" x14ac:dyDescent="0.2">
      <c r="A68" s="1" t="s">
        <v>381</v>
      </c>
      <c r="B68" s="1">
        <v>1.54787655E-9</v>
      </c>
      <c r="C68" s="1">
        <v>1.54747065E-9</v>
      </c>
      <c r="D68" s="1">
        <v>1.5477693000000001E-9</v>
      </c>
      <c r="E68" s="1">
        <v>1.54772805E-9</v>
      </c>
      <c r="F68" s="1">
        <v>1.5481125000000001E-9</v>
      </c>
      <c r="G68" s="1">
        <v>1.5470399999999999E-9</v>
      </c>
      <c r="H68" s="1">
        <v>1.54772805E-9</v>
      </c>
      <c r="I68" s="1">
        <v>1.5479276999999999E-9</v>
      </c>
      <c r="J68" s="1">
        <v>1.5478814999999999E-9</v>
      </c>
      <c r="K68" s="1">
        <v>1.54776765E-9</v>
      </c>
      <c r="L68" s="1">
        <v>1.5470697E-9</v>
      </c>
      <c r="M68" s="1">
        <v>1.5475960500000003E-9</v>
      </c>
      <c r="N68" s="1">
        <v>1.5479772000000002E-9</v>
      </c>
      <c r="O68" s="1">
        <v>1.5483979499999997E-9</v>
      </c>
      <c r="P68" s="1">
        <v>1.5472726499999998E-9</v>
      </c>
      <c r="Q68" s="1">
        <v>1.5482428500000001E-9</v>
      </c>
      <c r="R68" s="1">
        <v>1.5472132499999999E-9</v>
      </c>
      <c r="S68" s="1">
        <v>1.5478468499999998E-9</v>
      </c>
      <c r="T68" s="1">
        <v>1.54795905E-9</v>
      </c>
      <c r="U68" s="1">
        <v>1.5469888500000001E-9</v>
      </c>
      <c r="V68" s="1">
        <v>1.5471769500000001E-9</v>
      </c>
      <c r="W68" s="1">
        <v>1.5477841500000001E-9</v>
      </c>
      <c r="X68" s="1">
        <v>1.5484556999999999E-9</v>
      </c>
      <c r="Y68" s="1">
        <v>1.5471620999999999E-9</v>
      </c>
      <c r="Z68" s="1">
        <v>1.5479046E-9</v>
      </c>
      <c r="AA68" s="1">
        <v>1.5483071999999999E-9</v>
      </c>
      <c r="AB68" s="1">
        <v>1.5484424999999998E-9</v>
      </c>
      <c r="AC68" s="1">
        <v>1.5470598E-9</v>
      </c>
    </row>
    <row r="69" spans="1:29" x14ac:dyDescent="0.2">
      <c r="A69" s="1" t="s">
        <v>382</v>
      </c>
      <c r="B69" s="1">
        <v>1.54749375E-9</v>
      </c>
      <c r="C69" s="1">
        <v>1.5474970500000002E-9</v>
      </c>
      <c r="D69" s="1">
        <v>1.5471472499999999E-9</v>
      </c>
      <c r="E69" s="1">
        <v>1.5478980000000002E-9</v>
      </c>
      <c r="F69" s="1">
        <v>1.5484194000000001E-9</v>
      </c>
      <c r="G69" s="1">
        <v>1.5469954499999999E-9</v>
      </c>
      <c r="H69" s="1">
        <v>1.5474871499999999E-9</v>
      </c>
      <c r="I69" s="1">
        <v>1.5481455000000003E-9</v>
      </c>
      <c r="J69" s="1">
        <v>1.5478880999999999E-9</v>
      </c>
      <c r="K69" s="1">
        <v>1.5477511499999999E-9</v>
      </c>
      <c r="L69" s="1">
        <v>1.5470746499999997E-9</v>
      </c>
      <c r="M69" s="1">
        <v>1.5474294000000001E-9</v>
      </c>
      <c r="N69" s="1">
        <v>1.5482428500000001E-9</v>
      </c>
      <c r="O69" s="1">
        <v>1.5472577999999998E-9</v>
      </c>
      <c r="P69" s="1">
        <v>1.5482016000000002E-9</v>
      </c>
      <c r="Q69" s="1">
        <v>1.5483946499999999E-9</v>
      </c>
      <c r="R69" s="1">
        <v>1.5483897000000002E-9</v>
      </c>
      <c r="S69" s="1">
        <v>1.5482082E-9</v>
      </c>
      <c r="T69" s="1">
        <v>1.5476818499999999E-9</v>
      </c>
      <c r="U69" s="1">
        <v>1.5473567999999999E-9</v>
      </c>
      <c r="V69" s="1">
        <v>1.5476042999999998E-9</v>
      </c>
      <c r="W69" s="1">
        <v>1.5479046E-9</v>
      </c>
      <c r="X69" s="1">
        <v>1.5472446000000001E-9</v>
      </c>
      <c r="Y69" s="1">
        <v>1.5476505000000003E-9</v>
      </c>
      <c r="Z69" s="1">
        <v>1.5469195500000001E-9</v>
      </c>
      <c r="AA69" s="1">
        <v>1.5478699500000001E-9</v>
      </c>
      <c r="AB69" s="1">
        <v>1.54753335E-9</v>
      </c>
      <c r="AC69" s="1">
        <v>1.5474574500000002E-9</v>
      </c>
    </row>
    <row r="70" spans="1:29" x14ac:dyDescent="0.2">
      <c r="A70" s="1" t="s">
        <v>379</v>
      </c>
      <c r="B70" s="1">
        <v>1.5472132499999999E-9</v>
      </c>
      <c r="C70" s="1">
        <v>1.5469987499999999E-9</v>
      </c>
      <c r="D70" s="1">
        <v>1.5479161499999998E-9</v>
      </c>
      <c r="E70" s="1">
        <v>1.5478880999999999E-9</v>
      </c>
      <c r="F70" s="1">
        <v>1.5470317500000001E-9</v>
      </c>
      <c r="G70" s="1">
        <v>1.54804155E-9</v>
      </c>
      <c r="H70" s="1">
        <v>1.54822305E-9</v>
      </c>
      <c r="I70" s="1">
        <v>1.5478155000000002E-9</v>
      </c>
      <c r="J70" s="1">
        <v>1.5478319999999998E-9</v>
      </c>
      <c r="K70" s="1">
        <v>1.5470416500000002E-9</v>
      </c>
      <c r="L70" s="1">
        <v>1.5484573499999998E-9</v>
      </c>
      <c r="M70" s="1">
        <v>1.54818345E-9</v>
      </c>
      <c r="N70" s="1">
        <v>1.5484293E-9</v>
      </c>
      <c r="O70" s="1">
        <v>1.54830555E-9</v>
      </c>
      <c r="P70" s="1">
        <v>1.5478155000000002E-9</v>
      </c>
      <c r="Q70" s="1">
        <v>1.5472808999999999E-9</v>
      </c>
      <c r="R70" s="1">
        <v>1.5482296499999996E-9</v>
      </c>
      <c r="S70" s="1">
        <v>1.5483583499999999E-9</v>
      </c>
      <c r="T70" s="1">
        <v>1.5483979499999997E-9</v>
      </c>
      <c r="U70" s="1">
        <v>1.54821645E-9</v>
      </c>
      <c r="V70" s="1">
        <v>1.5481520999999999E-9</v>
      </c>
      <c r="W70" s="1">
        <v>1.54709115E-9</v>
      </c>
      <c r="X70" s="1">
        <v>1.5471456E-9</v>
      </c>
      <c r="Y70" s="1">
        <v>1.5485117999999998E-9</v>
      </c>
      <c r="Z70" s="1">
        <v>1.5482263500000002E-9</v>
      </c>
      <c r="AA70" s="1">
        <v>1.5484012499999999E-9</v>
      </c>
      <c r="AB70" s="1">
        <v>1.5473436000000001E-9</v>
      </c>
      <c r="AC70" s="1">
        <v>1.54749375E-9</v>
      </c>
    </row>
    <row r="71" spans="1:29" x14ac:dyDescent="0.2">
      <c r="A71" s="1" t="s">
        <v>400</v>
      </c>
      <c r="B71" s="1">
        <v>1.2718991999999999E-9</v>
      </c>
      <c r="C71" s="1">
        <v>1.2174360000000001E-9</v>
      </c>
      <c r="D71" s="1">
        <v>1.2544784999999999E-9</v>
      </c>
      <c r="E71" s="1">
        <v>1.3877028000000001E-9</v>
      </c>
      <c r="F71" s="1">
        <v>1.3929877500000003E-9</v>
      </c>
      <c r="G71" s="1">
        <v>1.2214751999999999E-9</v>
      </c>
      <c r="H71" s="1">
        <v>1.2556763999999998E-9</v>
      </c>
      <c r="I71" s="1">
        <v>1.1948227500000001E-9</v>
      </c>
      <c r="J71" s="1">
        <v>1.20905565E-9</v>
      </c>
      <c r="K71" s="1">
        <v>1.27474545E-9</v>
      </c>
      <c r="L71" s="1">
        <v>1.4321702999999999E-9</v>
      </c>
      <c r="M71" s="1">
        <v>1.24555035E-9</v>
      </c>
      <c r="N71" s="1">
        <v>1.2327909000000001E-9</v>
      </c>
      <c r="O71" s="1">
        <v>1.2425424000000001E-9</v>
      </c>
      <c r="P71" s="1">
        <v>1.2728231999999999E-9</v>
      </c>
      <c r="Q71" s="1">
        <v>1.23817815E-9</v>
      </c>
      <c r="R71" s="1">
        <v>1.41884325E-9</v>
      </c>
      <c r="S71" s="1">
        <v>1.4405704499999999E-9</v>
      </c>
      <c r="T71" s="1">
        <v>1.2050527499999999E-9</v>
      </c>
      <c r="U71" s="1">
        <v>1.2569254499999999E-9</v>
      </c>
      <c r="V71" s="1">
        <v>1.24258035E-9</v>
      </c>
      <c r="W71" s="1">
        <v>1.2713316000000001E-9</v>
      </c>
      <c r="X71" s="1">
        <v>1.3989508499999999E-9</v>
      </c>
      <c r="Y71" s="1">
        <v>1.2285454499999999E-9</v>
      </c>
      <c r="Z71" s="1">
        <v>1.44594945E-9</v>
      </c>
      <c r="AA71" s="1">
        <v>1.3902619499999999E-9</v>
      </c>
      <c r="AB71" s="1">
        <v>1.2015894E-9</v>
      </c>
      <c r="AC71" s="1">
        <v>1.2411464999999999E-9</v>
      </c>
    </row>
    <row r="72" spans="1:29" x14ac:dyDescent="0.2">
      <c r="A72" s="1" t="s">
        <v>399</v>
      </c>
      <c r="B72" s="1">
        <v>1.4492263500000003E-9</v>
      </c>
      <c r="C72" s="1">
        <v>1.3012098E-9</v>
      </c>
      <c r="D72" s="1">
        <v>1.3505068500000002E-9</v>
      </c>
      <c r="E72" s="1">
        <v>1.4901859499999999E-9</v>
      </c>
      <c r="F72" s="1">
        <v>1.2886780499999999E-9</v>
      </c>
      <c r="G72" s="1">
        <v>1.3310253000000001E-9</v>
      </c>
      <c r="H72" s="1">
        <v>1.2120900000000001E-9</v>
      </c>
      <c r="I72" s="1">
        <v>1.188297E-9</v>
      </c>
      <c r="J72" s="1">
        <v>1.2938293500000001E-9</v>
      </c>
      <c r="K72" s="1">
        <v>1.2007445999999999E-9</v>
      </c>
      <c r="L72" s="1">
        <v>1.4473833000000002E-9</v>
      </c>
      <c r="M72" s="1">
        <v>1.2033483000000001E-9</v>
      </c>
      <c r="N72" s="1">
        <v>1.2734633999999999E-9</v>
      </c>
      <c r="O72" s="1">
        <v>1.3258789499999998E-9</v>
      </c>
      <c r="P72" s="1">
        <v>1.2150715499999999E-9</v>
      </c>
      <c r="Q72" s="1">
        <v>1.2917421E-9</v>
      </c>
      <c r="R72" s="1">
        <v>1.3563759E-9</v>
      </c>
      <c r="S72" s="1">
        <v>1.35215025E-9</v>
      </c>
      <c r="T72" s="1">
        <v>1.2900046499999999E-9</v>
      </c>
      <c r="U72" s="1">
        <v>1.3233626999999999E-9</v>
      </c>
      <c r="V72" s="1">
        <v>1.19898405E-9</v>
      </c>
      <c r="W72" s="1">
        <v>1.2440043E-9</v>
      </c>
      <c r="X72" s="1">
        <v>1.4075473499999999E-9</v>
      </c>
      <c r="Y72" s="1">
        <v>1.32765105E-9</v>
      </c>
      <c r="Z72" s="1">
        <v>1.3720261500000001E-9</v>
      </c>
      <c r="AA72" s="1">
        <v>1.3271263499999998E-9</v>
      </c>
      <c r="AB72" s="1">
        <v>1.2651573E-9</v>
      </c>
      <c r="AC72" s="1">
        <v>1.2736284E-9</v>
      </c>
    </row>
    <row r="73" spans="1:29" x14ac:dyDescent="0.2">
      <c r="A73" s="1" t="s">
        <v>307</v>
      </c>
      <c r="B73" s="1">
        <v>1.2757932E-9</v>
      </c>
      <c r="C73" s="1">
        <v>1.2047970000000001E-9</v>
      </c>
      <c r="D73" s="1">
        <v>1.25967105E-9</v>
      </c>
      <c r="E73" s="1">
        <v>1.5751906500000002E-9</v>
      </c>
      <c r="F73" s="1">
        <v>1.34527965E-9</v>
      </c>
      <c r="G73" s="1">
        <v>1.2566499E-9</v>
      </c>
      <c r="H73" s="1">
        <v>1.22876655E-9</v>
      </c>
      <c r="I73" s="1">
        <v>1.1892457500000001E-9</v>
      </c>
      <c r="J73" s="1">
        <v>1.3666801499999999E-9</v>
      </c>
      <c r="K73" s="1">
        <v>1.2957763499999999E-9</v>
      </c>
      <c r="L73" s="1">
        <v>1.3012032E-9</v>
      </c>
      <c r="M73" s="1">
        <v>1.1942518500000001E-9</v>
      </c>
      <c r="N73" s="1">
        <v>1.2147267E-9</v>
      </c>
      <c r="O73" s="1">
        <v>1.31516715E-9</v>
      </c>
      <c r="P73" s="1">
        <v>1.3028927999999999E-9</v>
      </c>
      <c r="Q73" s="1">
        <v>1.1969512499999999E-9</v>
      </c>
      <c r="R73" s="1">
        <v>1.2150995999999999E-9</v>
      </c>
      <c r="S73" s="1">
        <v>1.4539272000000001E-9</v>
      </c>
      <c r="T73" s="1">
        <v>1.2127796999999999E-9</v>
      </c>
      <c r="U73" s="1">
        <v>1.2727109999999999E-9</v>
      </c>
      <c r="V73" s="1">
        <v>1.4002395E-9</v>
      </c>
      <c r="W73" s="1">
        <v>1.1918180999999999E-9</v>
      </c>
      <c r="X73" s="1">
        <v>1.3672164000000001E-9</v>
      </c>
      <c r="Y73" s="1">
        <v>1.2682164000000001E-9</v>
      </c>
      <c r="Z73" s="1">
        <v>1.4734714499999997E-9</v>
      </c>
      <c r="AA73" s="1">
        <v>1.227336E-9</v>
      </c>
      <c r="AB73" s="1">
        <v>1.18661235E-9</v>
      </c>
      <c r="AC73" s="1">
        <v>1.2431100000000001E-9</v>
      </c>
    </row>
    <row r="74" spans="1:29" x14ac:dyDescent="0.2">
      <c r="A74" s="1" t="s">
        <v>308</v>
      </c>
      <c r="B74" s="1">
        <v>1.27581465E-9</v>
      </c>
      <c r="C74" s="1">
        <v>1.2048266999999998E-9</v>
      </c>
      <c r="D74" s="1">
        <v>1.2598113E-9</v>
      </c>
      <c r="E74" s="1">
        <v>1.5752154E-9</v>
      </c>
      <c r="F74" s="1">
        <v>1.3452961500000001E-9</v>
      </c>
      <c r="G74" s="1">
        <v>1.2568000500000001E-9</v>
      </c>
      <c r="H74" s="1">
        <v>1.22883585E-9</v>
      </c>
      <c r="I74" s="1">
        <v>1.1891319E-9</v>
      </c>
      <c r="J74" s="1">
        <v>1.3666504499999998E-9</v>
      </c>
      <c r="K74" s="1">
        <v>1.2958951499999999E-9</v>
      </c>
      <c r="L74" s="1">
        <v>1.3013252999999998E-9</v>
      </c>
      <c r="M74" s="1">
        <v>1.1941000500000001E-9</v>
      </c>
      <c r="N74" s="1">
        <v>1.2148785E-9</v>
      </c>
      <c r="O74" s="1">
        <v>1.31531235E-9</v>
      </c>
      <c r="P74" s="1">
        <v>1.3027608E-9</v>
      </c>
      <c r="Q74" s="1">
        <v>1.1969562E-9</v>
      </c>
      <c r="R74" s="1">
        <v>1.21508805E-9</v>
      </c>
      <c r="S74" s="1">
        <v>1.4538381E-9</v>
      </c>
      <c r="T74" s="1">
        <v>1.2127879499999999E-9</v>
      </c>
      <c r="U74" s="1">
        <v>1.2726730500000001E-9</v>
      </c>
      <c r="V74" s="1">
        <v>1.4003038500000002E-9</v>
      </c>
      <c r="W74" s="1">
        <v>1.191795E-9</v>
      </c>
      <c r="X74" s="1">
        <v>1.3673286E-9</v>
      </c>
      <c r="Y74" s="1">
        <v>1.2681586500000001E-9</v>
      </c>
      <c r="Z74" s="1">
        <v>1.4735506499999999E-9</v>
      </c>
      <c r="AA74" s="1">
        <v>1.22747625E-9</v>
      </c>
      <c r="AB74" s="1">
        <v>1.1866469999999999E-9</v>
      </c>
      <c r="AC74" s="1">
        <v>1.2430374000000001E-9</v>
      </c>
    </row>
    <row r="75" spans="1:29" x14ac:dyDescent="0.2">
      <c r="A75" s="1" t="s">
        <v>410</v>
      </c>
      <c r="B75" s="1">
        <v>1.21083765E-9</v>
      </c>
      <c r="C75" s="1">
        <v>1.1904354000000001E-9</v>
      </c>
      <c r="D75" s="1">
        <v>1.2870709500000001E-9</v>
      </c>
      <c r="E75" s="1">
        <v>1.3272154500000001E-9</v>
      </c>
      <c r="F75" s="1">
        <v>1.22417295E-9</v>
      </c>
      <c r="G75" s="1">
        <v>1.2572009999999999E-9</v>
      </c>
      <c r="H75" s="1">
        <v>1.18763535E-9</v>
      </c>
      <c r="I75" s="1">
        <v>1.1938492499999999E-9</v>
      </c>
      <c r="J75" s="1">
        <v>1.236114E-9</v>
      </c>
      <c r="K75" s="1">
        <v>1.3239171E-9</v>
      </c>
      <c r="L75" s="1">
        <v>1.3403923500000001E-9</v>
      </c>
      <c r="M75" s="1">
        <v>1.1971574999999999E-9</v>
      </c>
      <c r="N75" s="1">
        <v>1.2452170500000001E-9</v>
      </c>
      <c r="O75" s="1">
        <v>1.1913742499999999E-9</v>
      </c>
      <c r="P75" s="1">
        <v>1.2595341E-9</v>
      </c>
      <c r="Q75" s="1">
        <v>1.2022659E-9</v>
      </c>
      <c r="R75" s="1">
        <v>1.2121361999999999E-9</v>
      </c>
      <c r="S75" s="1">
        <v>1.4994242999999999E-9</v>
      </c>
      <c r="T75" s="1">
        <v>1.2285767999999999E-9</v>
      </c>
      <c r="U75" s="1">
        <v>1.25366835E-9</v>
      </c>
      <c r="V75" s="1">
        <v>1.3166983499999999E-9</v>
      </c>
      <c r="W75" s="1">
        <v>1.2128704499999999E-9</v>
      </c>
      <c r="X75" s="1">
        <v>1.2937666499999999E-9</v>
      </c>
      <c r="Y75" s="1">
        <v>1.1928889500000001E-9</v>
      </c>
      <c r="Z75" s="1">
        <v>1.5864271499999998E-9</v>
      </c>
      <c r="AA75" s="1">
        <v>1.3122317999999999E-9</v>
      </c>
      <c r="AB75" s="1">
        <v>1.19386905E-9</v>
      </c>
      <c r="AC75" s="1">
        <v>1.1913808499999999E-9</v>
      </c>
    </row>
    <row r="76" spans="1:29" x14ac:dyDescent="0.2">
      <c r="A76" s="1" t="s">
        <v>406</v>
      </c>
      <c r="B76" s="1">
        <v>1.5478072499999998E-9</v>
      </c>
      <c r="C76" s="1">
        <v>1.5474953999999999E-9</v>
      </c>
      <c r="D76" s="1">
        <v>1.5473171999999999E-9</v>
      </c>
      <c r="E76" s="1">
        <v>1.5468816E-9</v>
      </c>
      <c r="F76" s="1">
        <v>1.5469459499999999E-9</v>
      </c>
      <c r="G76" s="1">
        <v>1.5484309500000001E-9</v>
      </c>
      <c r="H76" s="1">
        <v>1.5475663500000001E-9</v>
      </c>
      <c r="I76" s="1">
        <v>1.5477577499999999E-9</v>
      </c>
      <c r="J76" s="1">
        <v>1.5480448500000001E-9</v>
      </c>
      <c r="K76" s="1">
        <v>1.5480712500000002E-9</v>
      </c>
      <c r="L76" s="1">
        <v>1.5479788500000001E-9</v>
      </c>
      <c r="M76" s="1">
        <v>1.54772145E-9</v>
      </c>
      <c r="N76" s="1">
        <v>1.5470531999999999E-9</v>
      </c>
      <c r="O76" s="1">
        <v>1.5475151999999998E-9</v>
      </c>
      <c r="P76" s="1">
        <v>1.5481686E-9</v>
      </c>
      <c r="Q76" s="1">
        <v>1.5484408499999999E-9</v>
      </c>
      <c r="R76" s="1">
        <v>1.5484573499999998E-9</v>
      </c>
      <c r="S76" s="1">
        <v>1.5477742500000002E-9</v>
      </c>
      <c r="T76" s="1">
        <v>1.5483814499999998E-9</v>
      </c>
      <c r="U76" s="1">
        <v>1.5483005999999999E-9</v>
      </c>
      <c r="V76" s="1">
        <v>1.5483187499999999E-9</v>
      </c>
      <c r="W76" s="1">
        <v>1.5469047E-9</v>
      </c>
      <c r="X76" s="1">
        <v>1.5479491500000002E-9</v>
      </c>
      <c r="Y76" s="1">
        <v>1.5477923999999998E-9</v>
      </c>
      <c r="Z76" s="1">
        <v>1.5484408499999999E-9</v>
      </c>
      <c r="AA76" s="1">
        <v>1.5474508499999999E-9</v>
      </c>
      <c r="AB76" s="1">
        <v>1.5470631E-9</v>
      </c>
      <c r="AC76" s="1">
        <v>1.5470003999999999E-9</v>
      </c>
    </row>
    <row r="77" spans="1:29" x14ac:dyDescent="0.2">
      <c r="A77" s="1" t="s">
        <v>411</v>
      </c>
      <c r="B77" s="1">
        <v>1.2215147999999999E-9</v>
      </c>
      <c r="C77" s="1">
        <v>1.2780635999999999E-9</v>
      </c>
      <c r="D77" s="1">
        <v>1.1869357499999999E-9</v>
      </c>
      <c r="E77" s="1">
        <v>1.3075425E-9</v>
      </c>
      <c r="F77" s="1">
        <v>1.211001E-9</v>
      </c>
      <c r="G77" s="1">
        <v>1.2452747999999999E-9</v>
      </c>
      <c r="H77" s="1">
        <v>1.2104383499999999E-9</v>
      </c>
      <c r="I77" s="1">
        <v>1.20862995E-9</v>
      </c>
      <c r="J77" s="1">
        <v>1.2308736E-9</v>
      </c>
      <c r="K77" s="1">
        <v>1.2366222000000001E-9</v>
      </c>
      <c r="L77" s="1">
        <v>1.4724913500000002E-9</v>
      </c>
      <c r="M77" s="1">
        <v>1.21242495E-9</v>
      </c>
      <c r="N77" s="1">
        <v>1.2195216E-9</v>
      </c>
      <c r="O77" s="1">
        <v>1.2994921499999999E-9</v>
      </c>
      <c r="P77" s="1">
        <v>1.1870726999999999E-9</v>
      </c>
      <c r="Q77" s="1">
        <v>1.250007E-9</v>
      </c>
      <c r="R77" s="1">
        <v>1.2573346500000001E-9</v>
      </c>
      <c r="S77" s="1">
        <v>1.3520545500000001E-9</v>
      </c>
      <c r="T77" s="1">
        <v>1.1863533000000002E-9</v>
      </c>
      <c r="U77" s="1">
        <v>1.25222295E-9</v>
      </c>
      <c r="V77" s="1">
        <v>1.374615E-9</v>
      </c>
      <c r="W77" s="1">
        <v>1.2641326500000001E-9</v>
      </c>
      <c r="X77" s="1">
        <v>1.5119940000000001E-9</v>
      </c>
      <c r="Y77" s="1">
        <v>1.2054718500000002E-9</v>
      </c>
      <c r="Z77" s="1">
        <v>1.3093723500000001E-9</v>
      </c>
      <c r="AA77" s="1">
        <v>1.35628515E-9</v>
      </c>
      <c r="AB77" s="1">
        <v>1.2607088999999999E-9</v>
      </c>
      <c r="AC77" s="1">
        <v>1.3657314E-9</v>
      </c>
    </row>
    <row r="78" spans="1:29" x14ac:dyDescent="0.2">
      <c r="A78" s="1" t="s">
        <v>480</v>
      </c>
      <c r="B78" s="1">
        <v>1.2096215999999999E-9</v>
      </c>
      <c r="C78" s="1">
        <v>1.3049668500000001E-9</v>
      </c>
      <c r="D78" s="1">
        <v>1.2613656000000002E-9</v>
      </c>
      <c r="E78" s="1">
        <v>1.2642233999999998E-9</v>
      </c>
      <c r="F78" s="1">
        <v>1.277892E-9</v>
      </c>
      <c r="G78" s="1">
        <v>1.2548266500000001E-9</v>
      </c>
      <c r="H78" s="1">
        <v>1.2257734500000001E-9</v>
      </c>
      <c r="I78" s="1">
        <v>1.2507016500000001E-9</v>
      </c>
      <c r="J78" s="1">
        <v>1.24315785E-9</v>
      </c>
      <c r="K78" s="1">
        <v>1.30058115E-9</v>
      </c>
      <c r="L78" s="1">
        <v>1.4812248000000003E-9</v>
      </c>
      <c r="M78" s="1">
        <v>1.1964083999999999E-9</v>
      </c>
      <c r="N78" s="1">
        <v>1.2798390000000001E-9</v>
      </c>
      <c r="O78" s="1">
        <v>1.29017625E-9</v>
      </c>
      <c r="P78" s="1">
        <v>1.3560723000000002E-9</v>
      </c>
      <c r="Q78" s="1">
        <v>1.2426843E-9</v>
      </c>
      <c r="R78" s="1">
        <v>1.4479723499999998E-9</v>
      </c>
      <c r="S78" s="1">
        <v>1.4431955999999998E-9</v>
      </c>
      <c r="T78" s="1">
        <v>1.1885081999999999E-9</v>
      </c>
      <c r="U78" s="1">
        <v>1.3110388499999999E-9</v>
      </c>
      <c r="V78" s="1">
        <v>1.3232290499999999E-9</v>
      </c>
      <c r="W78" s="1">
        <v>1.19409345E-9</v>
      </c>
      <c r="X78" s="1">
        <v>1.27156095E-9</v>
      </c>
      <c r="Y78" s="1">
        <v>1.2831241500000001E-9</v>
      </c>
      <c r="Z78" s="1">
        <v>1.2750506999999999E-9</v>
      </c>
      <c r="AA78" s="1">
        <v>1.3988485500000001E-9</v>
      </c>
      <c r="AB78" s="1">
        <v>1.2354556500000001E-9</v>
      </c>
      <c r="AC78" s="1">
        <v>1.2511916999999998E-9</v>
      </c>
    </row>
    <row r="79" spans="1:29" x14ac:dyDescent="0.2">
      <c r="A79" s="1" t="s">
        <v>481</v>
      </c>
      <c r="B79" s="1">
        <v>1.2153751499999999E-9</v>
      </c>
      <c r="C79" s="1">
        <v>1.2491275500000001E-9</v>
      </c>
      <c r="D79" s="1">
        <v>1.20236325E-9</v>
      </c>
      <c r="E79" s="1">
        <v>1.5456176999999998E-9</v>
      </c>
      <c r="F79" s="1">
        <v>1.2905739E-9</v>
      </c>
      <c r="G79" s="1">
        <v>1.2587701499999998E-9</v>
      </c>
      <c r="H79" s="1">
        <v>1.2446411999999999E-9</v>
      </c>
      <c r="I79" s="1">
        <v>1.3268706000000002E-9</v>
      </c>
      <c r="J79" s="1">
        <v>1.2116593500000001E-9</v>
      </c>
      <c r="K79" s="1">
        <v>1.1914452E-9</v>
      </c>
      <c r="L79" s="1">
        <v>1.3815483000000001E-9</v>
      </c>
      <c r="M79" s="1">
        <v>1.2843963000000001E-9</v>
      </c>
      <c r="N79" s="1">
        <v>1.28960535E-9</v>
      </c>
      <c r="O79" s="1">
        <v>1.3739319E-9</v>
      </c>
      <c r="P79" s="1">
        <v>1.349436E-9</v>
      </c>
      <c r="Q79" s="1">
        <v>1.3254845999999999E-9</v>
      </c>
      <c r="R79" s="1">
        <v>1.2104366999999998E-9</v>
      </c>
      <c r="S79" s="1">
        <v>1.3541285999999999E-9</v>
      </c>
      <c r="T79" s="1">
        <v>1.2683715000000001E-9</v>
      </c>
      <c r="U79" s="1">
        <v>1.30383E-9</v>
      </c>
      <c r="V79" s="1">
        <v>1.4234566500000001E-9</v>
      </c>
      <c r="W79" s="1">
        <v>1.2289827000000001E-9</v>
      </c>
      <c r="X79" s="1">
        <v>1.2509309999999998E-9</v>
      </c>
      <c r="Y79" s="1">
        <v>1.324983E-9</v>
      </c>
      <c r="Z79" s="1">
        <v>1.4383033499999999E-9</v>
      </c>
      <c r="AA79" s="1">
        <v>1.36281915E-9</v>
      </c>
      <c r="AB79" s="1">
        <v>1.2884124E-9</v>
      </c>
      <c r="AC79" s="1">
        <v>1.2566795999999999E-9</v>
      </c>
    </row>
    <row r="80" spans="1:29" x14ac:dyDescent="0.2">
      <c r="A80" s="1" t="s">
        <v>434</v>
      </c>
      <c r="B80" s="1">
        <v>1.2417866999999999E-9</v>
      </c>
      <c r="C80" s="1">
        <v>1.1863945500000001E-9</v>
      </c>
      <c r="D80" s="1">
        <v>1.2608177999999999E-9</v>
      </c>
      <c r="E80" s="1">
        <v>1.4078113499999999E-9</v>
      </c>
      <c r="F80" s="1">
        <v>1.1892936E-9</v>
      </c>
      <c r="G80" s="1">
        <v>1.2241531499999999E-9</v>
      </c>
      <c r="H80" s="1">
        <v>1.1970667500000001E-9</v>
      </c>
      <c r="I80" s="1">
        <v>1.2310715999999999E-9</v>
      </c>
      <c r="J80" s="1">
        <v>1.4102863500000002E-9</v>
      </c>
      <c r="K80" s="1">
        <v>1.3989392999999999E-9</v>
      </c>
      <c r="L80" s="1">
        <v>1.2872177999999999E-9</v>
      </c>
      <c r="M80" s="1">
        <v>1.2009112499999999E-9</v>
      </c>
      <c r="N80" s="1">
        <v>1.1883333E-9</v>
      </c>
      <c r="O80" s="1">
        <v>1.2302928E-9</v>
      </c>
      <c r="P80" s="1">
        <v>1.1877888000000001E-9</v>
      </c>
      <c r="Q80" s="1">
        <v>1.1877904499999998E-9</v>
      </c>
      <c r="R80" s="1">
        <v>1.4383429499999997E-9</v>
      </c>
      <c r="S80" s="1">
        <v>1.4054502E-9</v>
      </c>
      <c r="T80" s="1">
        <v>1.2155483999999999E-9</v>
      </c>
      <c r="U80" s="1">
        <v>1.25202E-9</v>
      </c>
      <c r="V80" s="1">
        <v>1.3409731499999999E-9</v>
      </c>
      <c r="W80" s="1">
        <v>1.2436083000000001E-9</v>
      </c>
      <c r="X80" s="1">
        <v>1.3599943499999997E-9</v>
      </c>
      <c r="Y80" s="1">
        <v>1.3165086E-9</v>
      </c>
      <c r="Z80" s="1">
        <v>1.5295252499999999E-9</v>
      </c>
      <c r="AA80" s="1">
        <v>1.1972581499999999E-9</v>
      </c>
      <c r="AB80" s="1">
        <v>1.2022807499999999E-9</v>
      </c>
      <c r="AC80" s="1">
        <v>1.1877657E-9</v>
      </c>
    </row>
    <row r="81" spans="1:29" x14ac:dyDescent="0.2">
      <c r="A81" s="1" t="s">
        <v>476</v>
      </c>
      <c r="B81" s="1">
        <v>1.2424400999999999E-9</v>
      </c>
      <c r="C81" s="1">
        <v>1.3012295999999999E-9</v>
      </c>
      <c r="D81" s="1">
        <v>1.2330136500000002E-9</v>
      </c>
      <c r="E81" s="1">
        <v>1.3220393999999999E-9</v>
      </c>
      <c r="F81" s="1">
        <v>1.25613675E-9</v>
      </c>
      <c r="G81" s="1">
        <v>1.2902075999999999E-9</v>
      </c>
      <c r="H81" s="1">
        <v>1.2056516999999998E-9</v>
      </c>
      <c r="I81" s="1">
        <v>1.2204917999999999E-9</v>
      </c>
      <c r="J81" s="1">
        <v>1.2063644999999999E-9</v>
      </c>
      <c r="K81" s="1">
        <v>1.20833295E-9</v>
      </c>
      <c r="L81" s="1">
        <v>1.4136094500000001E-9</v>
      </c>
      <c r="M81" s="1">
        <v>1.1950025999999999E-9</v>
      </c>
      <c r="N81" s="1">
        <v>1.2325384500000001E-9</v>
      </c>
      <c r="O81" s="1">
        <v>1.3380031499999999E-9</v>
      </c>
      <c r="P81" s="1">
        <v>1.1937997500000001E-9</v>
      </c>
      <c r="Q81" s="1">
        <v>1.2006175500000002E-9</v>
      </c>
      <c r="R81" s="1">
        <v>1.31921955E-9</v>
      </c>
      <c r="S81" s="1">
        <v>1.3650433499999999E-9</v>
      </c>
      <c r="T81" s="1">
        <v>1.21853985E-9</v>
      </c>
      <c r="U81" s="1">
        <v>1.2071383500000001E-9</v>
      </c>
      <c r="V81" s="1">
        <v>1.3828452E-9</v>
      </c>
      <c r="W81" s="1">
        <v>1.1947138499999999E-9</v>
      </c>
      <c r="X81" s="1">
        <v>1.4986075499999999E-9</v>
      </c>
      <c r="Y81" s="1">
        <v>1.21690965E-9</v>
      </c>
      <c r="Z81" s="1">
        <v>1.3219156499999998E-9</v>
      </c>
      <c r="AA81" s="1">
        <v>1.3016503500000001E-9</v>
      </c>
      <c r="AB81" s="1">
        <v>1.25419965E-9</v>
      </c>
      <c r="AC81" s="1">
        <v>1.38196905E-9</v>
      </c>
    </row>
    <row r="82" spans="1:29" x14ac:dyDescent="0.2">
      <c r="A82" s="1" t="s">
        <v>477</v>
      </c>
      <c r="B82" s="1">
        <v>1.2605290499999999E-9</v>
      </c>
      <c r="C82" s="1">
        <v>1.2767023500000001E-9</v>
      </c>
      <c r="D82" s="1">
        <v>1.3158420000000001E-9</v>
      </c>
      <c r="E82" s="1">
        <v>1.6208560500000001E-9</v>
      </c>
      <c r="F82" s="1">
        <v>1.31610435E-9</v>
      </c>
      <c r="G82" s="1">
        <v>1.243704E-9</v>
      </c>
      <c r="H82" s="1">
        <v>1.2393760500000001E-9</v>
      </c>
      <c r="I82" s="1">
        <v>1.1916993000000001E-9</v>
      </c>
      <c r="J82" s="1">
        <v>1.25112735E-9</v>
      </c>
      <c r="K82" s="1">
        <v>1.3376913E-9</v>
      </c>
      <c r="L82" s="1">
        <v>1.3174309500000002E-9</v>
      </c>
      <c r="M82" s="1">
        <v>1.1955652500000002E-9</v>
      </c>
      <c r="N82" s="1">
        <v>1.2131988000000001E-9</v>
      </c>
      <c r="O82" s="1">
        <v>1.2622236000000001E-9</v>
      </c>
      <c r="P82" s="1">
        <v>1.2897060000000001E-9</v>
      </c>
      <c r="Q82" s="1">
        <v>1.1893332000000001E-9</v>
      </c>
      <c r="R82" s="1">
        <v>1.3219601999999999E-9</v>
      </c>
      <c r="S82" s="1">
        <v>1.40782125E-9</v>
      </c>
      <c r="T82" s="1">
        <v>1.2390493500000002E-9</v>
      </c>
      <c r="U82" s="1">
        <v>1.2521883000000001E-9</v>
      </c>
      <c r="V82" s="1">
        <v>1.3472052000000001E-9</v>
      </c>
      <c r="W82" s="1">
        <v>1.1927091E-9</v>
      </c>
      <c r="X82" s="1">
        <v>1.2796393499999999E-9</v>
      </c>
      <c r="Y82" s="1">
        <v>1.35154305E-9</v>
      </c>
      <c r="Z82" s="1">
        <v>1.5310548000000001E-9</v>
      </c>
      <c r="AA82" s="1">
        <v>1.2205776E-9</v>
      </c>
      <c r="AB82" s="1">
        <v>1.2988602000000001E-9</v>
      </c>
      <c r="AC82" s="1">
        <v>1.2317514E-9</v>
      </c>
    </row>
    <row r="83" spans="1:29" x14ac:dyDescent="0.2">
      <c r="A83" s="1" t="s">
        <v>409</v>
      </c>
      <c r="B83" s="1">
        <v>1.1953920000000002E-9</v>
      </c>
      <c r="C83" s="1">
        <v>1.2409353E-9</v>
      </c>
      <c r="D83" s="1">
        <v>1.1954745E-9</v>
      </c>
      <c r="E83" s="1">
        <v>1.6300712999999999E-9</v>
      </c>
      <c r="F83" s="1">
        <v>1.2371502000000001E-9</v>
      </c>
      <c r="G83" s="1">
        <v>1.2126311999999999E-9</v>
      </c>
      <c r="H83" s="1">
        <v>1.2114860999999999E-9</v>
      </c>
      <c r="I83" s="1">
        <v>1.2537640499999999E-9</v>
      </c>
      <c r="J83" s="1">
        <v>1.2132697499999998E-9</v>
      </c>
      <c r="K83" s="1">
        <v>1.3881565499999998E-9</v>
      </c>
      <c r="L83" s="1">
        <v>1.3251001500000002E-9</v>
      </c>
      <c r="M83" s="1">
        <v>1.2620206499999999E-9</v>
      </c>
      <c r="N83" s="1">
        <v>1.29889815E-9</v>
      </c>
      <c r="O83" s="1">
        <v>1.2347181000000001E-9</v>
      </c>
      <c r="P83" s="1">
        <v>1.3329261000000001E-9</v>
      </c>
      <c r="Q83" s="1">
        <v>1.2834277500000001E-9</v>
      </c>
      <c r="R83" s="1">
        <v>1.3907437500000001E-9</v>
      </c>
      <c r="S83" s="1">
        <v>1.44895245E-9</v>
      </c>
      <c r="T83" s="1">
        <v>1.2750144000000001E-9</v>
      </c>
      <c r="U83" s="1">
        <v>1.2072852E-9</v>
      </c>
      <c r="V83" s="1">
        <v>1.3173270000000001E-9</v>
      </c>
      <c r="W83" s="1">
        <v>1.1873334000000001E-9</v>
      </c>
      <c r="X83" s="1">
        <v>1.4429084999999999E-9</v>
      </c>
      <c r="Y83" s="1">
        <v>1.1882673E-9</v>
      </c>
      <c r="Z83" s="1">
        <v>1.5160133999999997E-9</v>
      </c>
      <c r="AA83" s="1">
        <v>1.27695645E-9</v>
      </c>
      <c r="AB83" s="1">
        <v>1.1866766999999999E-9</v>
      </c>
      <c r="AC83" s="1">
        <v>1.3416876E-9</v>
      </c>
    </row>
    <row r="84" spans="1:29" x14ac:dyDescent="0.2">
      <c r="A84" s="1" t="s">
        <v>479</v>
      </c>
      <c r="B84" s="1">
        <v>1.2141921E-9</v>
      </c>
      <c r="C84" s="1">
        <v>1.2476738999999999E-9</v>
      </c>
      <c r="D84" s="1">
        <v>1.2933822E-9</v>
      </c>
      <c r="E84" s="1">
        <v>1.6811916E-9</v>
      </c>
      <c r="F84" s="1">
        <v>1.1944861500000001E-9</v>
      </c>
      <c r="G84" s="1">
        <v>1.21884675E-9</v>
      </c>
      <c r="H84" s="1">
        <v>1.2004855499999999E-9</v>
      </c>
      <c r="I84" s="1">
        <v>1.2192163499999999E-9</v>
      </c>
      <c r="J84" s="1">
        <v>1.24277835E-9</v>
      </c>
      <c r="K84" s="1">
        <v>1.29605685E-9</v>
      </c>
      <c r="L84" s="1">
        <v>1.37118135E-9</v>
      </c>
      <c r="M84" s="1">
        <v>1.1874142499999998E-9</v>
      </c>
      <c r="N84" s="1">
        <v>1.19291865E-9</v>
      </c>
      <c r="O84" s="1">
        <v>1.18933815E-9</v>
      </c>
      <c r="P84" s="1">
        <v>1.18827555E-9</v>
      </c>
      <c r="Q84" s="1">
        <v>1.1929104000000001E-9</v>
      </c>
      <c r="R84" s="1">
        <v>1.2759549E-9</v>
      </c>
      <c r="S84" s="1">
        <v>1.3056895500000001E-9</v>
      </c>
      <c r="T84" s="1">
        <v>1.1988372000000001E-9</v>
      </c>
      <c r="U84" s="1">
        <v>1.2439943999999999E-9</v>
      </c>
      <c r="V84" s="1">
        <v>1.3248476999999999E-9</v>
      </c>
      <c r="W84" s="1">
        <v>1.2250887E-9</v>
      </c>
      <c r="X84" s="1">
        <v>1.2607485E-9</v>
      </c>
      <c r="Y84" s="1">
        <v>1.22708355E-9</v>
      </c>
      <c r="Z84" s="1">
        <v>1.30820745E-9</v>
      </c>
      <c r="AA84" s="1">
        <v>1.1891781E-9</v>
      </c>
      <c r="AB84" s="1">
        <v>1.2051286500000001E-9</v>
      </c>
      <c r="AC84" s="1">
        <v>1.1918873999999999E-9</v>
      </c>
    </row>
    <row r="102" spans="2:29" x14ac:dyDescent="0.2">
      <c r="B102" s="1">
        <v>1.27888695E-9</v>
      </c>
      <c r="C102" s="1">
        <v>1.2865297499999998E-9</v>
      </c>
      <c r="D102" s="1">
        <v>1.29203085E-9</v>
      </c>
      <c r="E102" s="1">
        <v>1.4289495E-9</v>
      </c>
      <c r="F102" s="1">
        <v>1.4415241500000001E-9</v>
      </c>
      <c r="G102" s="1">
        <v>1.3344902999999999E-9</v>
      </c>
      <c r="H102" s="1">
        <v>1.1921745E-9</v>
      </c>
      <c r="I102" s="1">
        <v>1.2350431499999999E-9</v>
      </c>
      <c r="J102" s="1">
        <v>1.18983315E-9</v>
      </c>
      <c r="K102" s="1">
        <v>1.20350505E-9</v>
      </c>
      <c r="L102" s="1">
        <v>1.4227487999999999E-9</v>
      </c>
      <c r="M102" s="1">
        <v>1.197141E-9</v>
      </c>
      <c r="N102" s="1">
        <v>1.2034736999999999E-9</v>
      </c>
      <c r="O102" s="1">
        <v>1.2037212E-9</v>
      </c>
      <c r="P102" s="1">
        <v>1.2146920500000001E-9</v>
      </c>
      <c r="Q102" s="1">
        <v>1.1866618499999999E-9</v>
      </c>
      <c r="R102" s="1">
        <v>1.3335597000000002E-9</v>
      </c>
      <c r="S102" s="1">
        <v>1.4615485499999999E-9</v>
      </c>
      <c r="T102" s="1">
        <v>1.24561635E-9</v>
      </c>
      <c r="U102" s="1">
        <v>1.2054768000000001E-9</v>
      </c>
      <c r="V102" s="1">
        <v>1.1924071499999999E-9</v>
      </c>
      <c r="W102" s="1">
        <v>1.2904600499999999E-9</v>
      </c>
      <c r="X102" s="1">
        <v>1.2932865000000001E-9</v>
      </c>
      <c r="Y102" s="1">
        <v>1.21690965E-9</v>
      </c>
      <c r="Z102" s="1">
        <v>1.4093145E-9</v>
      </c>
      <c r="AA102" s="1">
        <v>1.3473537E-9</v>
      </c>
      <c r="AB102" s="1">
        <v>1.1942040000000001E-9</v>
      </c>
      <c r="AC102" s="1">
        <v>1.1980188E-9</v>
      </c>
    </row>
    <row r="103" spans="2:29" x14ac:dyDescent="0.2">
      <c r="B103" s="1">
        <v>1.25610705E-9</v>
      </c>
      <c r="C103" s="1">
        <v>1.2266331000000001E-9</v>
      </c>
      <c r="D103" s="1">
        <v>1.313433E-9</v>
      </c>
      <c r="E103" s="1">
        <v>1.5281161499999999E-9</v>
      </c>
      <c r="F103" s="1">
        <v>1.3189109999999999E-9</v>
      </c>
      <c r="G103" s="1">
        <v>1.2619777500000001E-9</v>
      </c>
      <c r="H103" s="1">
        <v>1.2350580000000001E-9</v>
      </c>
      <c r="I103" s="1">
        <v>1.2053035500000001E-9</v>
      </c>
      <c r="J103" s="1">
        <v>1.23180585E-9</v>
      </c>
      <c r="K103" s="1">
        <v>1.2170202000000001E-9</v>
      </c>
      <c r="L103" s="1">
        <v>1.3780832999999999E-9</v>
      </c>
      <c r="M103" s="1">
        <v>1.1941842E-9</v>
      </c>
      <c r="N103" s="1">
        <v>1.1880461999999999E-9</v>
      </c>
      <c r="O103" s="1">
        <v>1.2034159499999999E-9</v>
      </c>
      <c r="P103" s="1">
        <v>1.21239525E-9</v>
      </c>
      <c r="Q103" s="1">
        <v>1.1876898E-9</v>
      </c>
      <c r="R103" s="1">
        <v>1.4757682499999998E-9</v>
      </c>
      <c r="S103" s="1">
        <v>1.2903049499999999E-9</v>
      </c>
      <c r="T103" s="1">
        <v>1.2225493500000001E-9</v>
      </c>
      <c r="U103" s="1">
        <v>1.2001538999999998E-9</v>
      </c>
      <c r="V103" s="1">
        <v>1.2006010499999999E-9</v>
      </c>
      <c r="W103" s="1">
        <v>1.3000894499999998E-9</v>
      </c>
      <c r="X103" s="1">
        <v>1.3114760999999999E-9</v>
      </c>
      <c r="Y103" s="1">
        <v>1.23433695E-9</v>
      </c>
      <c r="Z103" s="1">
        <v>1.5009604499999999E-9</v>
      </c>
      <c r="AA103" s="1">
        <v>1.3601131499999999E-9</v>
      </c>
      <c r="AB103" s="1">
        <v>1.2546963000000001E-9</v>
      </c>
      <c r="AC103" s="1">
        <v>1.1960586000000001E-9</v>
      </c>
    </row>
    <row r="104" spans="2:29" x14ac:dyDescent="0.2">
      <c r="B104" s="1">
        <v>1.54678095E-9</v>
      </c>
      <c r="C104" s="1">
        <v>1.5461258999999998E-9</v>
      </c>
      <c r="D104" s="1">
        <v>1.5463882499999999E-9</v>
      </c>
      <c r="E104" s="1">
        <v>1.5460714499999999E-9</v>
      </c>
      <c r="F104" s="1">
        <v>1.5469492500000001E-9</v>
      </c>
      <c r="G104" s="1">
        <v>1.546611E-9</v>
      </c>
      <c r="H104" s="1">
        <v>1.54735515E-9</v>
      </c>
      <c r="I104" s="1">
        <v>1.5459031500000002E-9</v>
      </c>
      <c r="J104" s="1">
        <v>1.5463898999999998E-9</v>
      </c>
      <c r="K104" s="1">
        <v>1.5472165499999999E-9</v>
      </c>
      <c r="L104" s="1">
        <v>1.54598235E-9</v>
      </c>
      <c r="M104" s="1">
        <v>1.54582395E-9</v>
      </c>
      <c r="N104" s="1">
        <v>1.5467891999999999E-9</v>
      </c>
      <c r="O104" s="1">
        <v>1.5471026999999998E-9</v>
      </c>
      <c r="P104" s="1">
        <v>1.5457975499999998E-9</v>
      </c>
      <c r="Q104" s="1">
        <v>1.5464955E-9</v>
      </c>
      <c r="R104" s="1">
        <v>1.54723635E-9</v>
      </c>
      <c r="S104" s="1">
        <v>1.5461687999999997E-9</v>
      </c>
      <c r="T104" s="1">
        <v>1.5467248500000001E-9</v>
      </c>
      <c r="U104" s="1">
        <v>1.54609125E-9</v>
      </c>
      <c r="V104" s="1">
        <v>1.5472033499999998E-9</v>
      </c>
      <c r="W104" s="1">
        <v>1.54715385E-9</v>
      </c>
      <c r="X104" s="1">
        <v>1.5463041000000002E-9</v>
      </c>
      <c r="Y104" s="1">
        <v>1.5472545E-9</v>
      </c>
      <c r="Z104" s="1">
        <v>1.54591305E-9</v>
      </c>
      <c r="AA104" s="1">
        <v>1.5469212E-9</v>
      </c>
      <c r="AB104" s="1">
        <v>1.5470333999999998E-9</v>
      </c>
      <c r="AC104" s="1">
        <v>1.547073E-9</v>
      </c>
    </row>
    <row r="105" spans="2:29" x14ac:dyDescent="0.2">
      <c r="B105" s="1">
        <v>1.5472924500000001E-9</v>
      </c>
      <c r="C105" s="1">
        <v>1.54666545E-9</v>
      </c>
      <c r="D105" s="1">
        <v>1.5458157E-9</v>
      </c>
      <c r="E105" s="1">
        <v>1.5470069999999999E-9</v>
      </c>
      <c r="F105" s="1">
        <v>1.5463568999999999E-9</v>
      </c>
      <c r="G105" s="1">
        <v>1.5464987999999998E-9</v>
      </c>
      <c r="H105" s="1">
        <v>1.5466951500000002E-9</v>
      </c>
      <c r="I105" s="1">
        <v>1.5471224999999999E-9</v>
      </c>
      <c r="J105" s="1">
        <v>1.5466390499999998E-9</v>
      </c>
      <c r="K105" s="1">
        <v>1.5457859999999999E-9</v>
      </c>
      <c r="L105" s="1">
        <v>1.5460533000000001E-9</v>
      </c>
      <c r="M105" s="1">
        <v>1.5463932000000001E-9</v>
      </c>
      <c r="N105" s="1">
        <v>1.54637175E-9</v>
      </c>
      <c r="O105" s="1">
        <v>1.5457579499999998E-9</v>
      </c>
      <c r="P105" s="1">
        <v>1.5461226E-9</v>
      </c>
      <c r="Q105" s="1">
        <v>1.54675125E-9</v>
      </c>
      <c r="R105" s="1">
        <v>1.5470565000000002E-9</v>
      </c>
      <c r="S105" s="1">
        <v>1.5458833500000001E-9</v>
      </c>
      <c r="T105" s="1">
        <v>1.54643445E-9</v>
      </c>
      <c r="U105" s="1">
        <v>1.5471835500000001E-9</v>
      </c>
      <c r="V105" s="1">
        <v>1.5459757499999998E-9</v>
      </c>
      <c r="W105" s="1">
        <v>1.5460137000000001E-9</v>
      </c>
      <c r="X105" s="1">
        <v>1.5465796499999997E-9</v>
      </c>
      <c r="Y105" s="1">
        <v>1.5473254499999999E-9</v>
      </c>
      <c r="Z105" s="1">
        <v>1.5459608999999998E-9</v>
      </c>
      <c r="AA105" s="1">
        <v>1.5458519999999998E-9</v>
      </c>
      <c r="AB105" s="1">
        <v>1.5457859999999999E-9</v>
      </c>
      <c r="AC105" s="1">
        <v>1.5462281999999998E-9</v>
      </c>
    </row>
    <row r="106" spans="2:29" x14ac:dyDescent="0.2">
      <c r="B106" s="1">
        <v>1.5465301499999999E-9</v>
      </c>
      <c r="C106" s="1">
        <v>1.5470927999999999E-9</v>
      </c>
      <c r="D106" s="1">
        <v>1.5464509499999999E-9</v>
      </c>
      <c r="E106" s="1">
        <v>1.5472825499999998E-9</v>
      </c>
      <c r="F106" s="1">
        <v>1.5457266000000002E-9</v>
      </c>
      <c r="G106" s="1">
        <v>1.547073E-9</v>
      </c>
      <c r="H106" s="1">
        <v>1.5465119999999999E-9</v>
      </c>
      <c r="I106" s="1">
        <v>1.5473105999999999E-9</v>
      </c>
      <c r="J106" s="1">
        <v>1.5470185500000001E-9</v>
      </c>
      <c r="K106" s="1">
        <v>1.5471439499999997E-9</v>
      </c>
      <c r="L106" s="1">
        <v>1.5466687499999998E-9</v>
      </c>
      <c r="M106" s="1">
        <v>1.54639485E-9</v>
      </c>
      <c r="N106" s="1">
        <v>1.5465021E-9</v>
      </c>
      <c r="O106" s="1">
        <v>1.5472891500000001E-9</v>
      </c>
      <c r="P106" s="1">
        <v>1.546644E-9</v>
      </c>
      <c r="Q106" s="1">
        <v>1.5457761E-9</v>
      </c>
      <c r="R106" s="1">
        <v>1.54720665E-9</v>
      </c>
      <c r="S106" s="1">
        <v>1.54682055E-9</v>
      </c>
      <c r="T106" s="1">
        <v>1.5460401E-9</v>
      </c>
      <c r="U106" s="1">
        <v>1.5473650499999999E-9</v>
      </c>
      <c r="V106" s="1">
        <v>1.5463057499999999E-9</v>
      </c>
      <c r="W106" s="1">
        <v>1.5459113999999999E-9</v>
      </c>
      <c r="X106" s="1">
        <v>1.54735515E-9</v>
      </c>
      <c r="Y106" s="1">
        <v>1.5469443E-9</v>
      </c>
      <c r="Z106" s="1">
        <v>1.5463057499999999E-9</v>
      </c>
      <c r="AA106" s="1">
        <v>1.54701195E-9</v>
      </c>
      <c r="AB106" s="1">
        <v>1.5473601000000002E-9</v>
      </c>
      <c r="AC106" s="1">
        <v>1.54666545E-9</v>
      </c>
    </row>
    <row r="107" spans="2:29" x14ac:dyDescent="0.2">
      <c r="B107" s="1">
        <v>1.5465796499999997E-9</v>
      </c>
      <c r="C107" s="1">
        <v>1.5457859999999999E-9</v>
      </c>
      <c r="D107" s="1">
        <v>1.5468486000000001E-9</v>
      </c>
      <c r="E107" s="1">
        <v>1.5467083499999998E-9</v>
      </c>
      <c r="F107" s="1">
        <v>1.54658295E-9</v>
      </c>
      <c r="G107" s="1">
        <v>1.5459641999999998E-9</v>
      </c>
      <c r="H107" s="1">
        <v>1.5457777499999999E-9</v>
      </c>
      <c r="I107" s="1">
        <v>1.54628595E-9</v>
      </c>
      <c r="J107" s="1">
        <v>1.5458355000000001E-9</v>
      </c>
      <c r="K107" s="1">
        <v>1.54669845E-9</v>
      </c>
      <c r="L107" s="1">
        <v>1.54670505E-9</v>
      </c>
      <c r="M107" s="1">
        <v>1.5464113500000001E-9</v>
      </c>
      <c r="N107" s="1">
        <v>1.5470961000000002E-9</v>
      </c>
      <c r="O107" s="1">
        <v>1.5461110500000003E-9</v>
      </c>
      <c r="P107" s="1">
        <v>1.5470531999999999E-9</v>
      </c>
      <c r="Q107" s="1">
        <v>1.5473469000000001E-9</v>
      </c>
      <c r="R107" s="1">
        <v>1.5462051000000001E-9</v>
      </c>
      <c r="S107" s="1">
        <v>1.54723305E-9</v>
      </c>
      <c r="T107" s="1">
        <v>1.5465581999999999E-9</v>
      </c>
      <c r="U107" s="1">
        <v>1.5471654000000001E-9</v>
      </c>
      <c r="V107" s="1">
        <v>1.5462479999999999E-9</v>
      </c>
      <c r="W107" s="1">
        <v>1.5461044499999998E-9</v>
      </c>
      <c r="X107" s="1">
        <v>1.5464179500000001E-9</v>
      </c>
      <c r="Y107" s="1">
        <v>1.546611E-9</v>
      </c>
      <c r="Z107" s="1">
        <v>1.5461291999999999E-9</v>
      </c>
      <c r="AA107" s="1">
        <v>1.5460846499999997E-9</v>
      </c>
      <c r="AB107" s="1">
        <v>1.5465219000000001E-9</v>
      </c>
      <c r="AC107" s="1">
        <v>1.5470003999999999E-9</v>
      </c>
    </row>
    <row r="108" spans="2:29" x14ac:dyDescent="0.2">
      <c r="B108" s="1">
        <v>1.5464608499999999E-9</v>
      </c>
      <c r="C108" s="1">
        <v>1.5468535500000002E-9</v>
      </c>
      <c r="D108" s="1">
        <v>1.5464311499999998E-9</v>
      </c>
      <c r="E108" s="1">
        <v>1.5463766999999998E-9</v>
      </c>
      <c r="F108" s="1">
        <v>1.5458074499999999E-9</v>
      </c>
      <c r="G108" s="1">
        <v>1.5458783999999999E-9</v>
      </c>
      <c r="H108" s="1">
        <v>1.5468469499999999E-9</v>
      </c>
      <c r="I108" s="1">
        <v>1.5467330999999998E-9</v>
      </c>
      <c r="J108" s="1">
        <v>1.5471456E-9</v>
      </c>
      <c r="K108" s="1">
        <v>1.5462529499999998E-9</v>
      </c>
      <c r="L108" s="1">
        <v>1.5471835500000001E-9</v>
      </c>
      <c r="M108" s="1">
        <v>1.5460169999999999E-9</v>
      </c>
      <c r="N108" s="1">
        <v>1.5460863E-9</v>
      </c>
      <c r="O108" s="1">
        <v>1.5468370499999999E-9</v>
      </c>
      <c r="P108" s="1">
        <v>1.5466836E-9</v>
      </c>
      <c r="Q108" s="1">
        <v>1.5473007E-9</v>
      </c>
      <c r="R108" s="1">
        <v>1.5461423999999999E-9</v>
      </c>
      <c r="S108" s="1">
        <v>1.5472908E-9</v>
      </c>
      <c r="T108" s="1">
        <v>1.5470185500000001E-9</v>
      </c>
      <c r="U108" s="1">
        <v>1.54624965E-9</v>
      </c>
      <c r="V108" s="1">
        <v>1.5466208999999999E-9</v>
      </c>
      <c r="W108" s="1">
        <v>1.5458519999999998E-9</v>
      </c>
      <c r="X108" s="1">
        <v>1.5460137000000001E-9</v>
      </c>
      <c r="Y108" s="1">
        <v>1.5473287500000001E-9</v>
      </c>
      <c r="Z108" s="1">
        <v>1.5472165499999999E-9</v>
      </c>
      <c r="AA108" s="1">
        <v>1.5457266000000002E-9</v>
      </c>
      <c r="AB108" s="1">
        <v>1.5463866E-9</v>
      </c>
      <c r="AC108" s="1">
        <v>1.5461869499999999E-9</v>
      </c>
    </row>
    <row r="109" spans="2:29" x14ac:dyDescent="0.2">
      <c r="B109" s="1">
        <v>1.52384265E-9</v>
      </c>
      <c r="C109" s="1">
        <v>1.18710075E-9</v>
      </c>
      <c r="D109" s="1">
        <v>1.19146005E-9</v>
      </c>
      <c r="E109" s="1">
        <v>1.3843896000000001E-9</v>
      </c>
      <c r="F109" s="1">
        <v>1.32335445E-9</v>
      </c>
      <c r="G109" s="1">
        <v>1.5338894999999998E-9</v>
      </c>
      <c r="H109" s="1">
        <v>1.25895165E-9</v>
      </c>
      <c r="I109" s="1">
        <v>1.23929025E-9</v>
      </c>
      <c r="J109" s="1">
        <v>1.4653683000000002E-9</v>
      </c>
      <c r="K109" s="1">
        <v>1.21250415E-9</v>
      </c>
      <c r="L109" s="1">
        <v>1.3867870500000002E-9</v>
      </c>
      <c r="M109" s="1">
        <v>1.1908281000000001E-9</v>
      </c>
      <c r="N109" s="1">
        <v>1.20423105E-9</v>
      </c>
      <c r="O109" s="1">
        <v>1.25659875E-9</v>
      </c>
      <c r="P109" s="1">
        <v>1.1966658000000001E-9</v>
      </c>
      <c r="Q109" s="1">
        <v>1.4125237500000002E-9</v>
      </c>
      <c r="R109" s="1">
        <v>1.50773865E-9</v>
      </c>
      <c r="S109" s="1">
        <v>1.3811358000000002E-9</v>
      </c>
      <c r="T109" s="1">
        <v>1.4927187E-9</v>
      </c>
      <c r="U109" s="1">
        <v>1.46159475E-9</v>
      </c>
      <c r="V109" s="1">
        <v>1.23795375E-9</v>
      </c>
      <c r="W109" s="1">
        <v>1.19290545E-9</v>
      </c>
      <c r="X109" s="1">
        <v>1.1887953E-9</v>
      </c>
      <c r="Y109" s="1">
        <v>1.4872671000000001E-9</v>
      </c>
      <c r="Z109" s="1">
        <v>1.4420505000000002E-9</v>
      </c>
      <c r="AA109" s="1">
        <v>1.48245405E-9</v>
      </c>
      <c r="AB109" s="1">
        <v>1.46679885E-9</v>
      </c>
      <c r="AC109" s="1">
        <v>1.2383777999999999E-9</v>
      </c>
    </row>
    <row r="110" spans="2:29" x14ac:dyDescent="0.2">
      <c r="B110" s="1">
        <v>1.5458091000000002E-9</v>
      </c>
      <c r="C110" s="1">
        <v>1.5471654000000001E-9</v>
      </c>
      <c r="D110" s="1">
        <v>1.5465119999999999E-9</v>
      </c>
      <c r="E110" s="1">
        <v>1.5468271499999998E-9</v>
      </c>
      <c r="F110" s="1">
        <v>1.5459806999999999E-9</v>
      </c>
      <c r="G110" s="1">
        <v>1.545885E-9</v>
      </c>
      <c r="H110" s="1">
        <v>1.54703835E-9</v>
      </c>
      <c r="I110" s="1">
        <v>1.5462199500000003E-9</v>
      </c>
      <c r="J110" s="1">
        <v>1.54582395E-9</v>
      </c>
      <c r="K110" s="1">
        <v>1.5468453E-9</v>
      </c>
      <c r="L110" s="1">
        <v>1.5459476999999999E-9</v>
      </c>
      <c r="M110" s="1">
        <v>1.5457859999999999E-9</v>
      </c>
      <c r="N110" s="1">
        <v>1.5461919E-9</v>
      </c>
      <c r="O110" s="1">
        <v>1.5471753E-9</v>
      </c>
      <c r="P110" s="1">
        <v>1.5469129500000001E-9</v>
      </c>
      <c r="Q110" s="1">
        <v>1.54640805E-9</v>
      </c>
      <c r="R110" s="1">
        <v>1.54612755E-9</v>
      </c>
      <c r="S110" s="1">
        <v>1.5458635500000002E-9</v>
      </c>
      <c r="T110" s="1">
        <v>1.54712745E-9</v>
      </c>
      <c r="U110" s="1">
        <v>1.5461638499999999E-9</v>
      </c>
      <c r="V110" s="1">
        <v>1.5461754000000001E-9</v>
      </c>
      <c r="W110" s="1">
        <v>1.5463288500000002E-9</v>
      </c>
      <c r="X110" s="1">
        <v>1.5458618999999999E-9</v>
      </c>
      <c r="Y110" s="1">
        <v>1.5473056500000002E-9</v>
      </c>
      <c r="Z110" s="1">
        <v>1.5462694500000001E-9</v>
      </c>
      <c r="AA110" s="1">
        <v>1.5465119999999999E-9</v>
      </c>
      <c r="AB110" s="1">
        <v>1.5467644500000001E-9</v>
      </c>
      <c r="AC110" s="1">
        <v>1.5457893000000001E-9</v>
      </c>
    </row>
    <row r="111" spans="2:29" x14ac:dyDescent="0.2">
      <c r="B111" s="1">
        <v>1.5460698E-9</v>
      </c>
      <c r="C111" s="1">
        <v>1.5459212999999998E-9</v>
      </c>
      <c r="D111" s="1">
        <v>1.5466274999999999E-9</v>
      </c>
      <c r="E111" s="1">
        <v>1.5464658E-9</v>
      </c>
      <c r="F111" s="1">
        <v>1.54734525E-9</v>
      </c>
      <c r="G111" s="1">
        <v>1.5464658E-9</v>
      </c>
      <c r="H111" s="1">
        <v>1.5469591499999999E-9</v>
      </c>
      <c r="I111" s="1">
        <v>1.5465334500000001E-9</v>
      </c>
      <c r="J111" s="1">
        <v>1.5465351E-9</v>
      </c>
      <c r="K111" s="1">
        <v>1.5457249500000002E-9</v>
      </c>
      <c r="L111" s="1">
        <v>1.5472016999999999E-9</v>
      </c>
      <c r="M111" s="1">
        <v>1.5466885499999999E-9</v>
      </c>
      <c r="N111" s="1">
        <v>1.5464311499999998E-9</v>
      </c>
      <c r="O111" s="1">
        <v>1.5462133499999998E-9</v>
      </c>
      <c r="P111" s="1">
        <v>1.5465548999999997E-9</v>
      </c>
      <c r="Q111" s="1">
        <v>1.5473683500000001E-9</v>
      </c>
      <c r="R111" s="1">
        <v>1.5463486499999999E-9</v>
      </c>
      <c r="S111" s="1">
        <v>1.546578E-9</v>
      </c>
      <c r="T111" s="1">
        <v>1.546083E-9</v>
      </c>
      <c r="U111" s="1">
        <v>1.5459542999999999E-9</v>
      </c>
      <c r="V111" s="1">
        <v>1.54589985E-9</v>
      </c>
      <c r="W111" s="1">
        <v>1.5461523E-9</v>
      </c>
      <c r="X111" s="1">
        <v>1.5465994499999998E-9</v>
      </c>
      <c r="Y111" s="1">
        <v>1.5465268500000001E-9</v>
      </c>
      <c r="Z111" s="1">
        <v>1.5473617500000001E-9</v>
      </c>
      <c r="AA111" s="1">
        <v>1.5464756999999999E-9</v>
      </c>
      <c r="AB111" s="1">
        <v>1.5464146499999999E-9</v>
      </c>
      <c r="AC111" s="1">
        <v>1.5458289000000001E-9</v>
      </c>
    </row>
    <row r="112" spans="2:29" x14ac:dyDescent="0.2">
      <c r="B112" s="1">
        <v>1.5473469000000001E-9</v>
      </c>
      <c r="C112" s="1">
        <v>1.5471076499999999E-9</v>
      </c>
      <c r="D112" s="1">
        <v>1.54690305E-9</v>
      </c>
      <c r="E112" s="1">
        <v>1.5464212499999999E-9</v>
      </c>
      <c r="F112" s="1">
        <v>1.5460054499999997E-9</v>
      </c>
      <c r="G112" s="1">
        <v>1.5471901500000002E-9</v>
      </c>
      <c r="H112" s="1">
        <v>1.5459476999999999E-9</v>
      </c>
      <c r="I112" s="1">
        <v>1.5472775999999999E-9</v>
      </c>
      <c r="J112" s="1">
        <v>1.54685025E-9</v>
      </c>
      <c r="K112" s="1">
        <v>1.5471835500000001E-9</v>
      </c>
      <c r="L112" s="1">
        <v>1.5472149E-9</v>
      </c>
      <c r="M112" s="1">
        <v>1.5467083499999998E-9</v>
      </c>
      <c r="N112" s="1">
        <v>1.54701195E-9</v>
      </c>
      <c r="O112" s="1">
        <v>1.5473617500000001E-9</v>
      </c>
      <c r="P112" s="1">
        <v>1.5470069999999999E-9</v>
      </c>
      <c r="Q112" s="1">
        <v>1.5463437000000002E-9</v>
      </c>
      <c r="R112" s="1">
        <v>1.5473369999999998E-9</v>
      </c>
      <c r="S112" s="1">
        <v>1.5469706999999999E-9</v>
      </c>
      <c r="T112" s="1">
        <v>1.5463305000000001E-9</v>
      </c>
      <c r="U112" s="1">
        <v>1.5465615000000002E-9</v>
      </c>
      <c r="V112" s="1">
        <v>1.5471786E-9</v>
      </c>
      <c r="W112" s="1">
        <v>1.5465879000000001E-9</v>
      </c>
      <c r="X112" s="1">
        <v>1.5457744500000001E-9</v>
      </c>
      <c r="Y112" s="1">
        <v>1.5463701000000001E-9</v>
      </c>
      <c r="Z112" s="1">
        <v>1.5468486000000001E-9</v>
      </c>
      <c r="AA112" s="1">
        <v>1.5469971E-9</v>
      </c>
      <c r="AB112" s="1">
        <v>1.54635525E-9</v>
      </c>
      <c r="AC112" s="1">
        <v>1.5462348000000002E-9</v>
      </c>
    </row>
    <row r="113" spans="2:29" x14ac:dyDescent="0.2">
      <c r="B113" s="1">
        <v>1.5458503500000001E-9</v>
      </c>
      <c r="C113" s="1">
        <v>1.54703835E-9</v>
      </c>
      <c r="D113" s="1">
        <v>1.5467166000000002E-9</v>
      </c>
      <c r="E113" s="1">
        <v>1.5460582499999998E-9</v>
      </c>
      <c r="F113" s="1">
        <v>1.5460269000000001E-9</v>
      </c>
      <c r="G113" s="1">
        <v>1.5458916E-9</v>
      </c>
      <c r="H113" s="1">
        <v>1.5463404E-9</v>
      </c>
      <c r="I113" s="1">
        <v>1.54685025E-9</v>
      </c>
      <c r="J113" s="1">
        <v>1.5461457E-9</v>
      </c>
      <c r="K113" s="1">
        <v>1.5459361499999997E-9</v>
      </c>
      <c r="L113" s="1">
        <v>1.5458223000000001E-9</v>
      </c>
      <c r="M113" s="1">
        <v>1.54711425E-9</v>
      </c>
      <c r="N113" s="1">
        <v>1.5461819999999999E-9</v>
      </c>
      <c r="O113" s="1">
        <v>1.54701525E-9</v>
      </c>
      <c r="P113" s="1">
        <v>1.5472545E-9</v>
      </c>
      <c r="Q113" s="1">
        <v>1.5457826999999996E-9</v>
      </c>
      <c r="R113" s="1">
        <v>1.5461605500000001E-9</v>
      </c>
      <c r="S113" s="1">
        <v>1.5471819E-9</v>
      </c>
      <c r="T113" s="1">
        <v>1.54575465E-9</v>
      </c>
      <c r="U113" s="1">
        <v>1.54602195E-9</v>
      </c>
      <c r="V113" s="1">
        <v>1.5461572499999999E-9</v>
      </c>
      <c r="W113" s="1">
        <v>1.5459361499999997E-9</v>
      </c>
      <c r="X113" s="1">
        <v>1.5460103999999998E-9</v>
      </c>
      <c r="Y113" s="1">
        <v>1.54651035E-9</v>
      </c>
      <c r="Z113" s="1">
        <v>1.5464096999999999E-9</v>
      </c>
      <c r="AA113" s="1">
        <v>1.54601535E-9</v>
      </c>
      <c r="AB113" s="1">
        <v>1.54678095E-9</v>
      </c>
      <c r="AC113" s="1">
        <v>1.5458420999999997E-9</v>
      </c>
    </row>
    <row r="114" spans="2:29" x14ac:dyDescent="0.2">
      <c r="B114" s="1">
        <v>1.5462545999999999E-9</v>
      </c>
      <c r="C114" s="1">
        <v>1.5473304E-9</v>
      </c>
      <c r="D114" s="1">
        <v>1.5466605000000003E-9</v>
      </c>
      <c r="E114" s="1">
        <v>1.5472528500000001E-9</v>
      </c>
      <c r="F114" s="1">
        <v>1.5459410999999999E-9</v>
      </c>
      <c r="G114" s="1">
        <v>1.54713075E-9</v>
      </c>
      <c r="H114" s="1">
        <v>1.5471835500000001E-9</v>
      </c>
      <c r="I114" s="1">
        <v>1.5461192999999998E-9</v>
      </c>
      <c r="J114" s="1">
        <v>1.5463833000000002E-9</v>
      </c>
      <c r="K114" s="1">
        <v>1.54640805E-9</v>
      </c>
      <c r="L114" s="1">
        <v>1.5463222499999998E-9</v>
      </c>
      <c r="M114" s="1">
        <v>1.5463849500000001E-9</v>
      </c>
      <c r="N114" s="1">
        <v>1.5459378000000001E-9</v>
      </c>
      <c r="O114" s="1">
        <v>1.5473238E-9</v>
      </c>
      <c r="P114" s="1">
        <v>1.5472709999999999E-9</v>
      </c>
      <c r="Q114" s="1">
        <v>1.5473073000000001E-9</v>
      </c>
      <c r="R114" s="1">
        <v>1.5459955499999999E-9</v>
      </c>
      <c r="S114" s="1">
        <v>1.5457299E-9</v>
      </c>
      <c r="T114" s="1">
        <v>1.5467100000000001E-9</v>
      </c>
      <c r="U114" s="1">
        <v>1.5458140499999999E-9</v>
      </c>
      <c r="V114" s="1">
        <v>1.5458255999999999E-9</v>
      </c>
      <c r="W114" s="1">
        <v>1.5464575499999999E-9</v>
      </c>
      <c r="X114" s="1">
        <v>1.5458717999999999E-9</v>
      </c>
      <c r="Y114" s="1">
        <v>1.54621005E-9</v>
      </c>
      <c r="Z114" s="1">
        <v>1.5464162999999998E-9</v>
      </c>
      <c r="AA114" s="1">
        <v>1.5469789499999998E-9</v>
      </c>
      <c r="AB114" s="1">
        <v>1.5470581500000001E-9</v>
      </c>
      <c r="AC114" s="1">
        <v>1.5468667500000001E-9</v>
      </c>
    </row>
    <row r="115" spans="2:29" x14ac:dyDescent="0.2">
      <c r="B115" s="1">
        <v>1.54638E-9</v>
      </c>
      <c r="C115" s="1">
        <v>1.54628595E-9</v>
      </c>
      <c r="D115" s="1">
        <v>1.5465087000000001E-9</v>
      </c>
      <c r="E115" s="1">
        <v>1.5458223000000001E-9</v>
      </c>
      <c r="F115" s="1">
        <v>1.5460499999999998E-9</v>
      </c>
      <c r="G115" s="1">
        <v>1.5461556E-9</v>
      </c>
      <c r="H115" s="1">
        <v>1.54599225E-9</v>
      </c>
      <c r="I115" s="1">
        <v>1.5464196E-9</v>
      </c>
      <c r="J115" s="1">
        <v>1.54606815E-9</v>
      </c>
      <c r="K115" s="1">
        <v>1.5472973999999998E-9</v>
      </c>
      <c r="L115" s="1">
        <v>1.5469492500000001E-9</v>
      </c>
      <c r="M115" s="1">
        <v>1.545819E-9</v>
      </c>
      <c r="N115" s="1">
        <v>1.5469344000000001E-9</v>
      </c>
      <c r="O115" s="1">
        <v>1.5468189000000001E-9</v>
      </c>
      <c r="P115" s="1">
        <v>1.5467132999999999E-9</v>
      </c>
      <c r="Q115" s="1">
        <v>1.5466208999999999E-9</v>
      </c>
      <c r="R115" s="1">
        <v>1.5460301999999997E-9</v>
      </c>
      <c r="S115" s="1">
        <v>1.5466489499999997E-9</v>
      </c>
      <c r="T115" s="1">
        <v>1.5471191999999999E-9</v>
      </c>
      <c r="U115" s="1">
        <v>1.5462116999999999E-9</v>
      </c>
      <c r="V115" s="1">
        <v>1.54675125E-9</v>
      </c>
      <c r="W115" s="1">
        <v>1.5464311499999998E-9</v>
      </c>
      <c r="X115" s="1">
        <v>1.5470829000000001E-9</v>
      </c>
      <c r="Y115" s="1">
        <v>1.5472181999999998E-9</v>
      </c>
      <c r="Z115" s="1">
        <v>1.5466918499999999E-9</v>
      </c>
      <c r="AA115" s="1">
        <v>1.54704495E-9</v>
      </c>
      <c r="AB115" s="1">
        <v>1.5473634E-9</v>
      </c>
      <c r="AC115" s="1">
        <v>1.5467891999999999E-9</v>
      </c>
    </row>
    <row r="116" spans="2:29" x14ac:dyDescent="0.2">
      <c r="B116" s="1">
        <v>1.54576125E-9</v>
      </c>
      <c r="C116" s="1">
        <v>1.54701525E-9</v>
      </c>
      <c r="D116" s="1">
        <v>1.54572165E-9</v>
      </c>
      <c r="E116" s="1">
        <v>1.5471109500000001E-9</v>
      </c>
      <c r="F116" s="1">
        <v>1.5467100000000001E-9</v>
      </c>
      <c r="G116" s="1">
        <v>1.5460566000000003E-9</v>
      </c>
      <c r="H116" s="1">
        <v>1.5462595500000001E-9</v>
      </c>
      <c r="I116" s="1">
        <v>1.5466159500000001E-9</v>
      </c>
      <c r="J116" s="1">
        <v>1.5471522000000001E-9</v>
      </c>
      <c r="K116" s="1">
        <v>1.5462727499999999E-9</v>
      </c>
      <c r="L116" s="1">
        <v>1.5467397000000001E-9</v>
      </c>
      <c r="M116" s="1">
        <v>1.5463998000000001E-9</v>
      </c>
      <c r="N116" s="1">
        <v>1.5469937999999998E-9</v>
      </c>
      <c r="O116" s="1">
        <v>1.5461786999999999E-9</v>
      </c>
      <c r="P116" s="1">
        <v>1.5458321999999999E-9</v>
      </c>
      <c r="Q116" s="1">
        <v>1.5468980999999999E-9</v>
      </c>
      <c r="R116" s="1">
        <v>1.5462116999999999E-9</v>
      </c>
      <c r="S116" s="1">
        <v>1.5465285E-9</v>
      </c>
      <c r="T116" s="1">
        <v>1.5473584500000003E-9</v>
      </c>
      <c r="U116" s="1">
        <v>1.54578435E-9</v>
      </c>
      <c r="V116" s="1">
        <v>1.54621665E-9</v>
      </c>
      <c r="W116" s="1">
        <v>1.5463387500000001E-9</v>
      </c>
      <c r="X116" s="1">
        <v>1.54722975E-9</v>
      </c>
      <c r="Y116" s="1">
        <v>1.5458932499999999E-9</v>
      </c>
      <c r="Z116" s="1">
        <v>1.5466241999999999E-9</v>
      </c>
      <c r="AA116" s="1">
        <v>1.5460533000000001E-9</v>
      </c>
      <c r="AB116" s="1">
        <v>1.5469525499999999E-9</v>
      </c>
      <c r="AC116" s="1">
        <v>1.5464872500000001E-9</v>
      </c>
    </row>
    <row r="117" spans="2:29" x14ac:dyDescent="0.2">
      <c r="B117" s="1">
        <v>1.5459493499999998E-9</v>
      </c>
      <c r="C117" s="1">
        <v>1.5459576000000002E-9</v>
      </c>
      <c r="D117" s="1">
        <v>1.54652025E-9</v>
      </c>
      <c r="E117" s="1">
        <v>1.5462925499999998E-9</v>
      </c>
      <c r="F117" s="1">
        <v>1.547073E-9</v>
      </c>
      <c r="G117" s="1">
        <v>1.546677E-9</v>
      </c>
      <c r="H117" s="1">
        <v>1.5468848999999998E-9</v>
      </c>
      <c r="I117" s="1">
        <v>1.54609125E-9</v>
      </c>
      <c r="J117" s="1">
        <v>1.5470399999999999E-9</v>
      </c>
      <c r="K117" s="1">
        <v>1.5471472499999999E-9</v>
      </c>
      <c r="L117" s="1">
        <v>1.5462628500000001E-9</v>
      </c>
      <c r="M117" s="1">
        <v>1.547073E-9</v>
      </c>
      <c r="N117" s="1">
        <v>1.5460698E-9</v>
      </c>
      <c r="O117" s="1">
        <v>1.5472495500000001E-9</v>
      </c>
      <c r="P117" s="1">
        <v>1.5469179E-9</v>
      </c>
      <c r="Q117" s="1">
        <v>1.5464641499999999E-9</v>
      </c>
      <c r="R117" s="1">
        <v>1.5473122499999998E-9</v>
      </c>
      <c r="S117" s="1">
        <v>1.5462018000000001E-9</v>
      </c>
      <c r="T117" s="1">
        <v>1.5459328500000001E-9</v>
      </c>
      <c r="U117" s="1">
        <v>1.5462809999999999E-9</v>
      </c>
      <c r="V117" s="1">
        <v>1.5463041000000002E-9</v>
      </c>
      <c r="W117" s="1">
        <v>1.5460797E-9</v>
      </c>
      <c r="X117" s="1">
        <v>1.5468073499999999E-9</v>
      </c>
      <c r="Y117" s="1">
        <v>1.5472792500000002E-9</v>
      </c>
      <c r="Z117" s="1">
        <v>1.5463701000000001E-9</v>
      </c>
      <c r="AA117" s="1">
        <v>1.5471191999999999E-9</v>
      </c>
      <c r="AB117" s="1">
        <v>1.5467545500000001E-9</v>
      </c>
      <c r="AC117" s="1">
        <v>1.5463618499999998E-9</v>
      </c>
    </row>
    <row r="118" spans="2:29" x14ac:dyDescent="0.2">
      <c r="B118" s="1">
        <v>1.5469591499999999E-9</v>
      </c>
      <c r="C118" s="1">
        <v>1.5475366500000002E-9</v>
      </c>
      <c r="D118" s="1">
        <v>1.5473914499999998E-9</v>
      </c>
      <c r="E118" s="1">
        <v>1.5470218500000001E-9</v>
      </c>
      <c r="F118" s="1">
        <v>1.5483484499999999E-9</v>
      </c>
      <c r="G118" s="1">
        <v>1.5483105000000002E-9</v>
      </c>
      <c r="H118" s="1">
        <v>1.5484408499999999E-9</v>
      </c>
      <c r="I118" s="1">
        <v>1.5473337000000002E-9</v>
      </c>
      <c r="J118" s="1">
        <v>1.54765875E-9</v>
      </c>
      <c r="K118" s="1">
        <v>1.5472775999999999E-9</v>
      </c>
      <c r="L118" s="1">
        <v>1.54754655E-9</v>
      </c>
      <c r="M118" s="1">
        <v>1.54799535E-9</v>
      </c>
      <c r="N118" s="1">
        <v>1.5469624500000002E-9</v>
      </c>
      <c r="O118" s="1">
        <v>1.5479244000000001E-9</v>
      </c>
      <c r="P118" s="1">
        <v>1.5479144999999999E-9</v>
      </c>
      <c r="Q118" s="1">
        <v>1.5472743000000001E-9</v>
      </c>
      <c r="R118" s="1">
        <v>1.5479227500000002E-9</v>
      </c>
      <c r="S118" s="1">
        <v>1.5477462000000002E-9</v>
      </c>
      <c r="T118" s="1">
        <v>1.5478353000000001E-9</v>
      </c>
      <c r="U118" s="1">
        <v>1.5473914499999998E-9</v>
      </c>
      <c r="V118" s="1">
        <v>1.5473832000000001E-9</v>
      </c>
      <c r="W118" s="1">
        <v>1.5469872000000002E-9</v>
      </c>
      <c r="X118" s="1">
        <v>1.5472957499999999E-9</v>
      </c>
      <c r="Y118" s="1">
        <v>1.5474921E-9</v>
      </c>
      <c r="Z118" s="1">
        <v>1.5473798999999999E-9</v>
      </c>
      <c r="AA118" s="1">
        <v>1.5477990000000003E-9</v>
      </c>
      <c r="AB118" s="1">
        <v>1.5477725999999999E-9</v>
      </c>
      <c r="AC118" s="1">
        <v>1.5484309500000001E-9</v>
      </c>
    </row>
    <row r="119" spans="2:29" x14ac:dyDescent="0.2">
      <c r="B119" s="1">
        <v>1.5473584500000003E-9</v>
      </c>
      <c r="C119" s="1">
        <v>1.54787325E-9</v>
      </c>
      <c r="D119" s="1">
        <v>1.5474987000000001E-9</v>
      </c>
      <c r="E119" s="1">
        <v>1.5473864999999999E-9</v>
      </c>
      <c r="F119" s="1">
        <v>1.5470581500000001E-9</v>
      </c>
      <c r="G119" s="1">
        <v>1.54758615E-9</v>
      </c>
      <c r="H119" s="1">
        <v>1.5469393499999998E-9</v>
      </c>
      <c r="I119" s="1">
        <v>1.54711755E-9</v>
      </c>
      <c r="J119" s="1">
        <v>1.5482939999999999E-9</v>
      </c>
      <c r="K119" s="1">
        <v>1.5481587E-9</v>
      </c>
      <c r="L119" s="1">
        <v>1.5481405500000002E-9</v>
      </c>
      <c r="M119" s="1">
        <v>1.5476752500000001E-9</v>
      </c>
      <c r="N119" s="1">
        <v>1.5481949999999999E-9</v>
      </c>
      <c r="O119" s="1">
        <v>1.54727595E-9</v>
      </c>
      <c r="P119" s="1">
        <v>1.5474458999999998E-9</v>
      </c>
      <c r="Q119" s="1">
        <v>1.5481026000000001E-9</v>
      </c>
      <c r="R119" s="1">
        <v>1.5469822500000001E-9</v>
      </c>
      <c r="S119" s="1">
        <v>1.5472808999999999E-9</v>
      </c>
      <c r="T119" s="1">
        <v>1.5477016500000001E-9</v>
      </c>
      <c r="U119" s="1">
        <v>1.5483616499999999E-9</v>
      </c>
      <c r="V119" s="1">
        <v>1.5474755999999998E-9</v>
      </c>
      <c r="W119" s="1">
        <v>1.5484556999999999E-9</v>
      </c>
      <c r="X119" s="1">
        <v>1.5474178500000002E-9</v>
      </c>
      <c r="Y119" s="1">
        <v>1.5475894499999999E-9</v>
      </c>
      <c r="Z119" s="1">
        <v>1.5481191000000002E-9</v>
      </c>
      <c r="AA119" s="1">
        <v>1.5475614E-9</v>
      </c>
      <c r="AB119" s="1">
        <v>1.54703835E-9</v>
      </c>
      <c r="AC119" s="1">
        <v>1.5477429E-9</v>
      </c>
    </row>
    <row r="120" spans="2:29" x14ac:dyDescent="0.2">
      <c r="B120" s="1">
        <v>1.54787655E-9</v>
      </c>
      <c r="C120" s="1">
        <v>1.54747065E-9</v>
      </c>
      <c r="D120" s="1">
        <v>1.5477693000000001E-9</v>
      </c>
      <c r="E120" s="1">
        <v>1.54772805E-9</v>
      </c>
      <c r="F120" s="1">
        <v>1.5481125000000001E-9</v>
      </c>
      <c r="G120" s="1">
        <v>1.5470399999999999E-9</v>
      </c>
      <c r="H120" s="1">
        <v>1.54772805E-9</v>
      </c>
      <c r="I120" s="1">
        <v>1.5479276999999999E-9</v>
      </c>
      <c r="J120" s="1">
        <v>1.5478814999999999E-9</v>
      </c>
      <c r="K120" s="1">
        <v>1.54776765E-9</v>
      </c>
      <c r="L120" s="1">
        <v>1.5470697E-9</v>
      </c>
      <c r="M120" s="1">
        <v>1.5475960500000003E-9</v>
      </c>
      <c r="N120" s="1">
        <v>1.5479772000000002E-9</v>
      </c>
      <c r="O120" s="1">
        <v>1.5483979499999997E-9</v>
      </c>
      <c r="P120" s="1">
        <v>1.5472726499999998E-9</v>
      </c>
      <c r="Q120" s="1">
        <v>1.5482428500000001E-9</v>
      </c>
      <c r="R120" s="1">
        <v>1.5472132499999999E-9</v>
      </c>
      <c r="S120" s="1">
        <v>1.5478468499999998E-9</v>
      </c>
      <c r="T120" s="1">
        <v>1.54795905E-9</v>
      </c>
      <c r="U120" s="1">
        <v>1.5469888500000001E-9</v>
      </c>
      <c r="V120" s="1">
        <v>1.5471769500000001E-9</v>
      </c>
      <c r="W120" s="1">
        <v>1.5477841500000001E-9</v>
      </c>
      <c r="X120" s="1">
        <v>1.5484556999999999E-9</v>
      </c>
      <c r="Y120" s="1">
        <v>1.5471620999999999E-9</v>
      </c>
      <c r="Z120" s="1">
        <v>1.5479046E-9</v>
      </c>
      <c r="AA120" s="1">
        <v>1.5483071999999999E-9</v>
      </c>
      <c r="AB120" s="1">
        <v>1.5484424999999998E-9</v>
      </c>
      <c r="AC120" s="1">
        <v>1.5470598E-9</v>
      </c>
    </row>
    <row r="121" spans="2:29" x14ac:dyDescent="0.2">
      <c r="B121" s="1">
        <v>1.54749375E-9</v>
      </c>
      <c r="C121" s="1">
        <v>1.5474970500000002E-9</v>
      </c>
      <c r="D121" s="1">
        <v>1.5471472499999999E-9</v>
      </c>
      <c r="E121" s="1">
        <v>1.5478980000000002E-9</v>
      </c>
      <c r="F121" s="1">
        <v>1.5484194000000001E-9</v>
      </c>
      <c r="G121" s="1">
        <v>1.5469954499999999E-9</v>
      </c>
      <c r="H121" s="1">
        <v>1.5474871499999999E-9</v>
      </c>
      <c r="I121" s="1">
        <v>1.5481455000000003E-9</v>
      </c>
      <c r="J121" s="1">
        <v>1.5478880999999999E-9</v>
      </c>
      <c r="K121" s="1">
        <v>1.5477511499999999E-9</v>
      </c>
      <c r="L121" s="1">
        <v>1.5470746499999997E-9</v>
      </c>
      <c r="M121" s="1">
        <v>1.5474294000000001E-9</v>
      </c>
      <c r="N121" s="1">
        <v>1.5482428500000001E-9</v>
      </c>
      <c r="O121" s="1">
        <v>1.5472577999999998E-9</v>
      </c>
      <c r="P121" s="1">
        <v>1.5482016000000002E-9</v>
      </c>
      <c r="Q121" s="1">
        <v>1.5483946499999999E-9</v>
      </c>
      <c r="R121" s="1">
        <v>1.5483897000000002E-9</v>
      </c>
      <c r="S121" s="1">
        <v>1.5482082E-9</v>
      </c>
      <c r="T121" s="1">
        <v>1.5476818499999999E-9</v>
      </c>
      <c r="U121" s="1">
        <v>1.5473567999999999E-9</v>
      </c>
      <c r="V121" s="1">
        <v>1.5476042999999998E-9</v>
      </c>
      <c r="W121" s="1">
        <v>1.5479046E-9</v>
      </c>
      <c r="X121" s="1">
        <v>1.5472446000000001E-9</v>
      </c>
      <c r="Y121" s="1">
        <v>1.5476505000000003E-9</v>
      </c>
      <c r="Z121" s="1">
        <v>1.5469195500000001E-9</v>
      </c>
      <c r="AA121" s="1">
        <v>1.5478699500000001E-9</v>
      </c>
      <c r="AB121" s="1">
        <v>1.54753335E-9</v>
      </c>
      <c r="AC121" s="1">
        <v>1.5474574500000002E-9</v>
      </c>
    </row>
    <row r="122" spans="2:29" x14ac:dyDescent="0.2">
      <c r="B122" s="1">
        <v>1.5472132499999999E-9</v>
      </c>
      <c r="C122" s="1">
        <v>1.5469987499999999E-9</v>
      </c>
      <c r="D122" s="1">
        <v>1.5479161499999998E-9</v>
      </c>
      <c r="E122" s="1">
        <v>1.5478880999999999E-9</v>
      </c>
      <c r="F122" s="1">
        <v>1.5470317500000001E-9</v>
      </c>
      <c r="G122" s="1">
        <v>1.54804155E-9</v>
      </c>
      <c r="H122" s="1">
        <v>1.54822305E-9</v>
      </c>
      <c r="I122" s="1">
        <v>1.5478155000000002E-9</v>
      </c>
      <c r="J122" s="1">
        <v>1.5478319999999998E-9</v>
      </c>
      <c r="K122" s="1">
        <v>1.5470416500000002E-9</v>
      </c>
      <c r="L122" s="1">
        <v>1.5484573499999998E-9</v>
      </c>
      <c r="M122" s="1">
        <v>1.54818345E-9</v>
      </c>
      <c r="N122" s="1">
        <v>1.5484293E-9</v>
      </c>
      <c r="O122" s="1">
        <v>1.54830555E-9</v>
      </c>
      <c r="P122" s="1">
        <v>1.5478155000000002E-9</v>
      </c>
      <c r="Q122" s="1">
        <v>1.5472808999999999E-9</v>
      </c>
      <c r="R122" s="1">
        <v>1.5482296499999996E-9</v>
      </c>
      <c r="S122" s="1">
        <v>1.5483583499999999E-9</v>
      </c>
      <c r="T122" s="1">
        <v>1.5483979499999997E-9</v>
      </c>
      <c r="U122" s="1">
        <v>1.54821645E-9</v>
      </c>
      <c r="V122" s="1">
        <v>1.5481520999999999E-9</v>
      </c>
      <c r="W122" s="1">
        <v>1.54709115E-9</v>
      </c>
      <c r="X122" s="1">
        <v>1.5471456E-9</v>
      </c>
      <c r="Y122" s="1">
        <v>1.5485117999999998E-9</v>
      </c>
      <c r="Z122" s="1">
        <v>1.5482263500000002E-9</v>
      </c>
      <c r="AA122" s="1">
        <v>1.5484012499999999E-9</v>
      </c>
      <c r="AB122" s="1">
        <v>1.5473436000000001E-9</v>
      </c>
      <c r="AC122" s="1">
        <v>1.54749375E-9</v>
      </c>
    </row>
    <row r="123" spans="2:29" x14ac:dyDescent="0.2">
      <c r="B123" s="1">
        <v>1.2718991999999999E-9</v>
      </c>
      <c r="C123" s="1">
        <v>1.2174360000000001E-9</v>
      </c>
      <c r="D123" s="1">
        <v>1.2544784999999999E-9</v>
      </c>
      <c r="E123" s="1">
        <v>1.3877028000000001E-9</v>
      </c>
      <c r="F123" s="1">
        <v>1.3929877500000003E-9</v>
      </c>
      <c r="G123" s="1">
        <v>1.2214751999999999E-9</v>
      </c>
      <c r="H123" s="1">
        <v>1.2556763999999998E-9</v>
      </c>
      <c r="I123" s="1">
        <v>1.1948227500000001E-9</v>
      </c>
      <c r="J123" s="1">
        <v>1.20905565E-9</v>
      </c>
      <c r="K123" s="1">
        <v>1.27474545E-9</v>
      </c>
      <c r="L123" s="1">
        <v>1.4321702999999999E-9</v>
      </c>
      <c r="M123" s="1">
        <v>1.24555035E-9</v>
      </c>
      <c r="N123" s="1">
        <v>1.2327909000000001E-9</v>
      </c>
      <c r="O123" s="1">
        <v>1.2425424000000001E-9</v>
      </c>
      <c r="P123" s="1">
        <v>1.2728231999999999E-9</v>
      </c>
      <c r="Q123" s="1">
        <v>1.23817815E-9</v>
      </c>
      <c r="R123" s="1">
        <v>1.41884325E-9</v>
      </c>
      <c r="S123" s="1">
        <v>1.4405704499999999E-9</v>
      </c>
      <c r="T123" s="1">
        <v>1.2050527499999999E-9</v>
      </c>
      <c r="U123" s="1">
        <v>1.2569254499999999E-9</v>
      </c>
      <c r="V123" s="1">
        <v>1.24258035E-9</v>
      </c>
      <c r="W123" s="1">
        <v>1.2713316000000001E-9</v>
      </c>
      <c r="X123" s="1">
        <v>1.3989508499999999E-9</v>
      </c>
      <c r="Y123" s="1">
        <v>1.2285454499999999E-9</v>
      </c>
      <c r="Z123" s="1">
        <v>1.44594945E-9</v>
      </c>
      <c r="AA123" s="1">
        <v>1.3902619499999999E-9</v>
      </c>
      <c r="AB123" s="1">
        <v>1.2015894E-9</v>
      </c>
      <c r="AC123" s="1">
        <v>1.2411464999999999E-9</v>
      </c>
    </row>
    <row r="124" spans="2:29" x14ac:dyDescent="0.2">
      <c r="B124" s="1">
        <v>1.4492263500000003E-9</v>
      </c>
      <c r="C124" s="1">
        <v>1.3012098E-9</v>
      </c>
      <c r="D124" s="1">
        <v>1.3505068500000002E-9</v>
      </c>
      <c r="E124" s="1">
        <v>1.4901859499999999E-9</v>
      </c>
      <c r="F124" s="1">
        <v>1.2886780499999999E-9</v>
      </c>
      <c r="G124" s="1">
        <v>1.3310253000000001E-9</v>
      </c>
      <c r="H124" s="1">
        <v>1.2120900000000001E-9</v>
      </c>
      <c r="I124" s="1">
        <v>1.188297E-9</v>
      </c>
      <c r="J124" s="1">
        <v>1.2938293500000001E-9</v>
      </c>
      <c r="K124" s="1">
        <v>1.2007445999999999E-9</v>
      </c>
      <c r="L124" s="1">
        <v>1.4473833000000002E-9</v>
      </c>
      <c r="M124" s="1">
        <v>1.2033483000000001E-9</v>
      </c>
      <c r="N124" s="1">
        <v>1.2734633999999999E-9</v>
      </c>
      <c r="O124" s="1">
        <v>1.3258789499999998E-9</v>
      </c>
      <c r="P124" s="1">
        <v>1.2150715499999999E-9</v>
      </c>
      <c r="Q124" s="1">
        <v>1.2917421E-9</v>
      </c>
      <c r="R124" s="1">
        <v>1.3563759E-9</v>
      </c>
      <c r="S124" s="1">
        <v>1.35215025E-9</v>
      </c>
      <c r="T124" s="1">
        <v>1.2900046499999999E-9</v>
      </c>
      <c r="U124" s="1">
        <v>1.3233626999999999E-9</v>
      </c>
      <c r="V124" s="1">
        <v>1.19898405E-9</v>
      </c>
      <c r="W124" s="1">
        <v>1.2440043E-9</v>
      </c>
      <c r="X124" s="1">
        <v>1.4075473499999999E-9</v>
      </c>
      <c r="Y124" s="1">
        <v>1.32765105E-9</v>
      </c>
      <c r="Z124" s="1">
        <v>1.3720261500000001E-9</v>
      </c>
      <c r="AA124" s="1">
        <v>1.3271263499999998E-9</v>
      </c>
      <c r="AB124" s="1">
        <v>1.2651573E-9</v>
      </c>
      <c r="AC124" s="1">
        <v>1.2736284E-9</v>
      </c>
    </row>
    <row r="125" spans="2:29" x14ac:dyDescent="0.2">
      <c r="B125" s="1">
        <v>1.2757932E-9</v>
      </c>
      <c r="C125" s="1">
        <v>1.2047970000000001E-9</v>
      </c>
      <c r="D125" s="1">
        <v>1.25967105E-9</v>
      </c>
      <c r="E125" s="1">
        <v>1.5751906500000002E-9</v>
      </c>
      <c r="F125" s="1">
        <v>1.34527965E-9</v>
      </c>
      <c r="G125" s="1">
        <v>1.2566499E-9</v>
      </c>
      <c r="H125" s="1">
        <v>1.22876655E-9</v>
      </c>
      <c r="I125" s="1">
        <v>1.1892457500000001E-9</v>
      </c>
      <c r="J125" s="1">
        <v>1.3666801499999999E-9</v>
      </c>
      <c r="K125" s="1">
        <v>1.2957763499999999E-9</v>
      </c>
      <c r="L125" s="1">
        <v>1.3012032E-9</v>
      </c>
      <c r="M125" s="1">
        <v>1.1942518500000001E-9</v>
      </c>
      <c r="N125" s="1">
        <v>1.2147267E-9</v>
      </c>
      <c r="O125" s="1">
        <v>1.31516715E-9</v>
      </c>
      <c r="P125" s="1">
        <v>1.3028927999999999E-9</v>
      </c>
      <c r="Q125" s="1">
        <v>1.1969512499999999E-9</v>
      </c>
      <c r="R125" s="1">
        <v>1.2150995999999999E-9</v>
      </c>
      <c r="S125" s="1">
        <v>1.4539272000000001E-9</v>
      </c>
      <c r="T125" s="1">
        <v>1.2127796999999999E-9</v>
      </c>
      <c r="U125" s="1">
        <v>1.2727109999999999E-9</v>
      </c>
      <c r="V125" s="1">
        <v>1.4002395E-9</v>
      </c>
      <c r="W125" s="1">
        <v>1.1918180999999999E-9</v>
      </c>
      <c r="X125" s="1">
        <v>1.3672164000000001E-9</v>
      </c>
      <c r="Y125" s="1">
        <v>1.2682164000000001E-9</v>
      </c>
      <c r="Z125" s="1">
        <v>1.4734714499999997E-9</v>
      </c>
      <c r="AA125" s="1">
        <v>1.227336E-9</v>
      </c>
      <c r="AB125" s="1">
        <v>1.18661235E-9</v>
      </c>
      <c r="AC125" s="1">
        <v>1.2431100000000001E-9</v>
      </c>
    </row>
    <row r="126" spans="2:29" x14ac:dyDescent="0.2">
      <c r="B126" s="1">
        <v>1.27581465E-9</v>
      </c>
      <c r="C126" s="1">
        <v>1.2048266999999998E-9</v>
      </c>
      <c r="D126" s="1">
        <v>1.2598113E-9</v>
      </c>
      <c r="E126" s="1">
        <v>1.5752154E-9</v>
      </c>
      <c r="F126" s="1">
        <v>1.3452961500000001E-9</v>
      </c>
      <c r="G126" s="1">
        <v>1.2568000500000001E-9</v>
      </c>
      <c r="H126" s="1">
        <v>1.22883585E-9</v>
      </c>
      <c r="I126" s="1">
        <v>1.1891319E-9</v>
      </c>
      <c r="J126" s="1">
        <v>1.3666504499999998E-9</v>
      </c>
      <c r="K126" s="1">
        <v>1.2958951499999999E-9</v>
      </c>
      <c r="L126" s="1">
        <v>1.3013252999999998E-9</v>
      </c>
      <c r="M126" s="1">
        <v>1.1941000500000001E-9</v>
      </c>
      <c r="N126" s="1">
        <v>1.2148785E-9</v>
      </c>
      <c r="O126" s="1">
        <v>1.31531235E-9</v>
      </c>
      <c r="P126" s="1">
        <v>1.3027608E-9</v>
      </c>
      <c r="Q126" s="1">
        <v>1.1969562E-9</v>
      </c>
      <c r="R126" s="1">
        <v>1.21508805E-9</v>
      </c>
      <c r="S126" s="1">
        <v>1.4538381E-9</v>
      </c>
      <c r="T126" s="1">
        <v>1.2127879499999999E-9</v>
      </c>
      <c r="U126" s="1">
        <v>1.2726730500000001E-9</v>
      </c>
      <c r="V126" s="1">
        <v>1.4003038500000002E-9</v>
      </c>
      <c r="W126" s="1">
        <v>1.191795E-9</v>
      </c>
      <c r="X126" s="1">
        <v>1.3673286E-9</v>
      </c>
      <c r="Y126" s="1">
        <v>1.2681586500000001E-9</v>
      </c>
      <c r="Z126" s="1">
        <v>1.4735506499999999E-9</v>
      </c>
      <c r="AA126" s="1">
        <v>1.22747625E-9</v>
      </c>
      <c r="AB126" s="1">
        <v>1.1866469999999999E-9</v>
      </c>
      <c r="AC126" s="1">
        <v>1.2430374000000001E-9</v>
      </c>
    </row>
    <row r="127" spans="2:29" x14ac:dyDescent="0.2">
      <c r="B127" s="1">
        <v>1.21083765E-9</v>
      </c>
      <c r="C127" s="1">
        <v>1.1904354000000001E-9</v>
      </c>
      <c r="D127" s="1">
        <v>1.2870709500000001E-9</v>
      </c>
      <c r="E127" s="1">
        <v>1.3272154500000001E-9</v>
      </c>
      <c r="F127" s="1">
        <v>1.22417295E-9</v>
      </c>
      <c r="G127" s="1">
        <v>1.2572009999999999E-9</v>
      </c>
      <c r="H127" s="1">
        <v>1.18763535E-9</v>
      </c>
      <c r="I127" s="1">
        <v>1.1938492499999999E-9</v>
      </c>
      <c r="J127" s="1">
        <v>1.236114E-9</v>
      </c>
      <c r="K127" s="1">
        <v>1.3239171E-9</v>
      </c>
      <c r="L127" s="1">
        <v>1.3403923500000001E-9</v>
      </c>
      <c r="M127" s="1">
        <v>1.1971574999999999E-9</v>
      </c>
      <c r="N127" s="1">
        <v>1.2452170500000001E-9</v>
      </c>
      <c r="O127" s="1">
        <v>1.1913742499999999E-9</v>
      </c>
      <c r="P127" s="1">
        <v>1.2595341E-9</v>
      </c>
      <c r="Q127" s="1">
        <v>1.2022659E-9</v>
      </c>
      <c r="R127" s="1">
        <v>1.2121361999999999E-9</v>
      </c>
      <c r="S127" s="1">
        <v>1.4994242999999999E-9</v>
      </c>
      <c r="T127" s="1">
        <v>1.2285767999999999E-9</v>
      </c>
      <c r="U127" s="1">
        <v>1.25366835E-9</v>
      </c>
      <c r="V127" s="1">
        <v>1.3166983499999999E-9</v>
      </c>
      <c r="W127" s="1">
        <v>1.2128704499999999E-9</v>
      </c>
      <c r="X127" s="1">
        <v>1.2937666499999999E-9</v>
      </c>
      <c r="Y127" s="1">
        <v>1.1928889500000001E-9</v>
      </c>
      <c r="Z127" s="1">
        <v>1.5864271499999998E-9</v>
      </c>
      <c r="AA127" s="1">
        <v>1.3122317999999999E-9</v>
      </c>
      <c r="AB127" s="1">
        <v>1.19386905E-9</v>
      </c>
      <c r="AC127" s="1">
        <v>1.1913808499999999E-9</v>
      </c>
    </row>
    <row r="128" spans="2:29" x14ac:dyDescent="0.2">
      <c r="B128" s="1">
        <v>1.5478072499999998E-9</v>
      </c>
      <c r="C128" s="1">
        <v>1.5474953999999999E-9</v>
      </c>
      <c r="D128" s="1">
        <v>1.5473171999999999E-9</v>
      </c>
      <c r="E128" s="1">
        <v>1.5468816E-9</v>
      </c>
      <c r="F128" s="1">
        <v>1.5469459499999999E-9</v>
      </c>
      <c r="G128" s="1">
        <v>1.5484309500000001E-9</v>
      </c>
      <c r="H128" s="1">
        <v>1.5475663500000001E-9</v>
      </c>
      <c r="I128" s="1">
        <v>1.5477577499999999E-9</v>
      </c>
      <c r="J128" s="1">
        <v>1.5480448500000001E-9</v>
      </c>
      <c r="K128" s="1">
        <v>1.5480712500000002E-9</v>
      </c>
      <c r="L128" s="1">
        <v>1.5479788500000001E-9</v>
      </c>
      <c r="M128" s="1">
        <v>1.54772145E-9</v>
      </c>
      <c r="N128" s="1">
        <v>1.5470531999999999E-9</v>
      </c>
      <c r="O128" s="1">
        <v>1.5475151999999998E-9</v>
      </c>
      <c r="P128" s="1">
        <v>1.5481686E-9</v>
      </c>
      <c r="Q128" s="1">
        <v>1.5484408499999999E-9</v>
      </c>
      <c r="R128" s="1">
        <v>1.5484573499999998E-9</v>
      </c>
      <c r="S128" s="1">
        <v>1.5477742500000002E-9</v>
      </c>
      <c r="T128" s="1">
        <v>1.5483814499999998E-9</v>
      </c>
      <c r="U128" s="1">
        <v>1.5483005999999999E-9</v>
      </c>
      <c r="V128" s="1">
        <v>1.5483187499999999E-9</v>
      </c>
      <c r="W128" s="1">
        <v>1.5469047E-9</v>
      </c>
      <c r="X128" s="1">
        <v>1.5479491500000002E-9</v>
      </c>
      <c r="Y128" s="1">
        <v>1.5477923999999998E-9</v>
      </c>
      <c r="Z128" s="1">
        <v>1.5484408499999999E-9</v>
      </c>
      <c r="AA128" s="1">
        <v>1.5474508499999999E-9</v>
      </c>
      <c r="AB128" s="1">
        <v>1.5470631E-9</v>
      </c>
      <c r="AC128" s="1">
        <v>1.5470003999999999E-9</v>
      </c>
    </row>
    <row r="129" spans="2:29" x14ac:dyDescent="0.2">
      <c r="B129" s="1">
        <v>1.2215147999999999E-9</v>
      </c>
      <c r="C129" s="1">
        <v>1.2780635999999999E-9</v>
      </c>
      <c r="D129" s="1">
        <v>1.1869357499999999E-9</v>
      </c>
      <c r="E129" s="1">
        <v>1.3075425E-9</v>
      </c>
      <c r="F129" s="1">
        <v>1.211001E-9</v>
      </c>
      <c r="G129" s="1">
        <v>1.2452747999999999E-9</v>
      </c>
      <c r="H129" s="1">
        <v>1.2104383499999999E-9</v>
      </c>
      <c r="I129" s="1">
        <v>1.20862995E-9</v>
      </c>
      <c r="J129" s="1">
        <v>1.2308736E-9</v>
      </c>
      <c r="K129" s="1">
        <v>1.2366222000000001E-9</v>
      </c>
      <c r="L129" s="1">
        <v>1.4724913500000002E-9</v>
      </c>
      <c r="M129" s="1">
        <v>1.21242495E-9</v>
      </c>
      <c r="N129" s="1">
        <v>1.2195216E-9</v>
      </c>
      <c r="O129" s="1">
        <v>1.2994921499999999E-9</v>
      </c>
      <c r="P129" s="1">
        <v>1.1870726999999999E-9</v>
      </c>
      <c r="Q129" s="1">
        <v>1.250007E-9</v>
      </c>
      <c r="R129" s="1">
        <v>1.2573346500000001E-9</v>
      </c>
      <c r="S129" s="1">
        <v>1.3520545500000001E-9</v>
      </c>
      <c r="T129" s="1">
        <v>1.1863533000000002E-9</v>
      </c>
      <c r="U129" s="1">
        <v>1.25222295E-9</v>
      </c>
      <c r="V129" s="1">
        <v>1.374615E-9</v>
      </c>
      <c r="W129" s="1">
        <v>1.2641326500000001E-9</v>
      </c>
      <c r="X129" s="1">
        <v>1.5119940000000001E-9</v>
      </c>
      <c r="Y129" s="1">
        <v>1.2054718500000002E-9</v>
      </c>
      <c r="Z129" s="1">
        <v>1.3093723500000001E-9</v>
      </c>
      <c r="AA129" s="1">
        <v>1.35628515E-9</v>
      </c>
      <c r="AB129" s="1">
        <v>1.2607088999999999E-9</v>
      </c>
      <c r="AC129" s="1">
        <v>1.3657314E-9</v>
      </c>
    </row>
    <row r="130" spans="2:29" x14ac:dyDescent="0.2">
      <c r="B130" s="1">
        <v>1.2096215999999999E-9</v>
      </c>
      <c r="C130" s="1">
        <v>1.3049668500000001E-9</v>
      </c>
      <c r="D130" s="1">
        <v>1.2613656000000002E-9</v>
      </c>
      <c r="E130" s="1">
        <v>1.2642233999999998E-9</v>
      </c>
      <c r="F130" s="1">
        <v>1.277892E-9</v>
      </c>
      <c r="G130" s="1">
        <v>1.2548266500000001E-9</v>
      </c>
      <c r="H130" s="1">
        <v>1.2257734500000001E-9</v>
      </c>
      <c r="I130" s="1">
        <v>1.2507016500000001E-9</v>
      </c>
      <c r="J130" s="1">
        <v>1.24315785E-9</v>
      </c>
      <c r="K130" s="1">
        <v>1.30058115E-9</v>
      </c>
      <c r="L130" s="1">
        <v>1.4812248000000003E-9</v>
      </c>
      <c r="M130" s="1">
        <v>1.1964083999999999E-9</v>
      </c>
      <c r="N130" s="1">
        <v>1.2798390000000001E-9</v>
      </c>
      <c r="O130" s="1">
        <v>1.29017625E-9</v>
      </c>
      <c r="P130" s="1">
        <v>1.3560723000000002E-9</v>
      </c>
      <c r="Q130" s="1">
        <v>1.2426843E-9</v>
      </c>
      <c r="R130" s="1">
        <v>1.4479723499999998E-9</v>
      </c>
      <c r="S130" s="1">
        <v>1.4431955999999998E-9</v>
      </c>
      <c r="T130" s="1">
        <v>1.1885081999999999E-9</v>
      </c>
      <c r="U130" s="1">
        <v>1.3110388499999999E-9</v>
      </c>
      <c r="V130" s="1">
        <v>1.3232290499999999E-9</v>
      </c>
      <c r="W130" s="1">
        <v>1.19409345E-9</v>
      </c>
      <c r="X130" s="1">
        <v>1.27156095E-9</v>
      </c>
      <c r="Y130" s="1">
        <v>1.2831241500000001E-9</v>
      </c>
      <c r="Z130" s="1">
        <v>1.2750506999999999E-9</v>
      </c>
      <c r="AA130" s="1">
        <v>1.3988485500000001E-9</v>
      </c>
      <c r="AB130" s="1">
        <v>1.2354556500000001E-9</v>
      </c>
      <c r="AC130" s="1">
        <v>1.2511916999999998E-9</v>
      </c>
    </row>
    <row r="131" spans="2:29" x14ac:dyDescent="0.2">
      <c r="B131" s="1">
        <v>1.2153751499999999E-9</v>
      </c>
      <c r="C131" s="1">
        <v>1.2491275500000001E-9</v>
      </c>
      <c r="D131" s="1">
        <v>1.20236325E-9</v>
      </c>
      <c r="E131" s="1">
        <v>1.5456176999999998E-9</v>
      </c>
      <c r="F131" s="1">
        <v>1.2905739E-9</v>
      </c>
      <c r="G131" s="1">
        <v>1.2587701499999998E-9</v>
      </c>
      <c r="H131" s="1">
        <v>1.2446411999999999E-9</v>
      </c>
      <c r="I131" s="1">
        <v>1.3268706000000002E-9</v>
      </c>
      <c r="J131" s="1">
        <v>1.2116593500000001E-9</v>
      </c>
      <c r="K131" s="1">
        <v>1.1914452E-9</v>
      </c>
      <c r="L131" s="1">
        <v>1.3815483000000001E-9</v>
      </c>
      <c r="M131" s="1">
        <v>1.2843963000000001E-9</v>
      </c>
      <c r="N131" s="1">
        <v>1.28960535E-9</v>
      </c>
      <c r="O131" s="1">
        <v>1.3739319E-9</v>
      </c>
      <c r="P131" s="1">
        <v>1.349436E-9</v>
      </c>
      <c r="Q131" s="1">
        <v>1.3254845999999999E-9</v>
      </c>
      <c r="R131" s="1">
        <v>1.2104366999999998E-9</v>
      </c>
      <c r="S131" s="1">
        <v>1.3541285999999999E-9</v>
      </c>
      <c r="T131" s="1">
        <v>1.2683715000000001E-9</v>
      </c>
      <c r="U131" s="1">
        <v>1.30383E-9</v>
      </c>
      <c r="V131" s="1">
        <v>1.4234566500000001E-9</v>
      </c>
      <c r="W131" s="1">
        <v>1.2289827000000001E-9</v>
      </c>
      <c r="X131" s="1">
        <v>1.2509309999999998E-9</v>
      </c>
      <c r="Y131" s="1">
        <v>1.324983E-9</v>
      </c>
      <c r="Z131" s="1">
        <v>1.4383033499999999E-9</v>
      </c>
      <c r="AA131" s="1">
        <v>1.36281915E-9</v>
      </c>
      <c r="AB131" s="1">
        <v>1.2884124E-9</v>
      </c>
      <c r="AC131" s="1">
        <v>1.2566795999999999E-9</v>
      </c>
    </row>
    <row r="132" spans="2:29" x14ac:dyDescent="0.2">
      <c r="B132" s="1">
        <v>1.2417866999999999E-9</v>
      </c>
      <c r="C132" s="1">
        <v>1.1863945500000001E-9</v>
      </c>
      <c r="D132" s="1">
        <v>1.2608177999999999E-9</v>
      </c>
      <c r="E132" s="1">
        <v>1.4078113499999999E-9</v>
      </c>
      <c r="F132" s="1">
        <v>1.1892936E-9</v>
      </c>
      <c r="G132" s="1">
        <v>1.2241531499999999E-9</v>
      </c>
      <c r="H132" s="1">
        <v>1.1970667500000001E-9</v>
      </c>
      <c r="I132" s="1">
        <v>1.2310715999999999E-9</v>
      </c>
      <c r="J132" s="1">
        <v>1.4102863500000002E-9</v>
      </c>
      <c r="K132" s="1">
        <v>1.3989392999999999E-9</v>
      </c>
      <c r="L132" s="1">
        <v>1.2872177999999999E-9</v>
      </c>
      <c r="M132" s="1">
        <v>1.2009112499999999E-9</v>
      </c>
      <c r="N132" s="1">
        <v>1.1883333E-9</v>
      </c>
      <c r="O132" s="1">
        <v>1.2302928E-9</v>
      </c>
      <c r="P132" s="1">
        <v>1.1877888000000001E-9</v>
      </c>
      <c r="Q132" s="1">
        <v>1.1877904499999998E-9</v>
      </c>
      <c r="R132" s="1">
        <v>1.4383429499999997E-9</v>
      </c>
      <c r="S132" s="1">
        <v>1.4054502E-9</v>
      </c>
      <c r="T132" s="1">
        <v>1.2155483999999999E-9</v>
      </c>
      <c r="U132" s="1">
        <v>1.25202E-9</v>
      </c>
      <c r="V132" s="1">
        <v>1.3409731499999999E-9</v>
      </c>
      <c r="W132" s="1">
        <v>1.2436083000000001E-9</v>
      </c>
      <c r="X132" s="1">
        <v>1.3599943499999997E-9</v>
      </c>
      <c r="Y132" s="1">
        <v>1.3165086E-9</v>
      </c>
      <c r="Z132" s="1">
        <v>1.5295252499999999E-9</v>
      </c>
      <c r="AA132" s="1">
        <v>1.1972581499999999E-9</v>
      </c>
      <c r="AB132" s="1">
        <v>1.2022807499999999E-9</v>
      </c>
      <c r="AC132" s="1">
        <v>1.1877657E-9</v>
      </c>
    </row>
    <row r="133" spans="2:29" x14ac:dyDescent="0.2">
      <c r="B133" s="1">
        <v>1.2424400999999999E-9</v>
      </c>
      <c r="C133" s="1">
        <v>1.3012295999999999E-9</v>
      </c>
      <c r="D133" s="1">
        <v>1.2330136500000002E-9</v>
      </c>
      <c r="E133" s="1">
        <v>1.3220393999999999E-9</v>
      </c>
      <c r="F133" s="1">
        <v>1.25613675E-9</v>
      </c>
      <c r="G133" s="1">
        <v>1.2902075999999999E-9</v>
      </c>
      <c r="H133" s="1">
        <v>1.2056516999999998E-9</v>
      </c>
      <c r="I133" s="1">
        <v>1.2204917999999999E-9</v>
      </c>
      <c r="J133" s="1">
        <v>1.2063644999999999E-9</v>
      </c>
      <c r="K133" s="1">
        <v>1.20833295E-9</v>
      </c>
      <c r="L133" s="1">
        <v>1.4136094500000001E-9</v>
      </c>
      <c r="M133" s="1">
        <v>1.1950025999999999E-9</v>
      </c>
      <c r="N133" s="1">
        <v>1.2325384500000001E-9</v>
      </c>
      <c r="O133" s="1">
        <v>1.3380031499999999E-9</v>
      </c>
      <c r="P133" s="1">
        <v>1.1937997500000001E-9</v>
      </c>
      <c r="Q133" s="1">
        <v>1.2006175500000002E-9</v>
      </c>
      <c r="R133" s="1">
        <v>1.31921955E-9</v>
      </c>
      <c r="S133" s="1">
        <v>1.3650433499999999E-9</v>
      </c>
      <c r="T133" s="1">
        <v>1.21853985E-9</v>
      </c>
      <c r="U133" s="1">
        <v>1.2071383500000001E-9</v>
      </c>
      <c r="V133" s="1">
        <v>1.3828452E-9</v>
      </c>
      <c r="W133" s="1">
        <v>1.1947138499999999E-9</v>
      </c>
      <c r="X133" s="1">
        <v>1.4986075499999999E-9</v>
      </c>
      <c r="Y133" s="1">
        <v>1.21690965E-9</v>
      </c>
      <c r="Z133" s="1">
        <v>1.3219156499999998E-9</v>
      </c>
      <c r="AA133" s="1">
        <v>1.3016503500000001E-9</v>
      </c>
      <c r="AB133" s="1">
        <v>1.25419965E-9</v>
      </c>
      <c r="AC133" s="1">
        <v>1.38196905E-9</v>
      </c>
    </row>
    <row r="134" spans="2:29" x14ac:dyDescent="0.2">
      <c r="B134" s="1">
        <v>1.2605290499999999E-9</v>
      </c>
      <c r="C134" s="1">
        <v>1.2767023500000001E-9</v>
      </c>
      <c r="D134" s="1">
        <v>1.3158420000000001E-9</v>
      </c>
      <c r="E134" s="1">
        <v>1.6208560500000001E-9</v>
      </c>
      <c r="F134" s="1">
        <v>1.31610435E-9</v>
      </c>
      <c r="G134" s="1">
        <v>1.243704E-9</v>
      </c>
      <c r="H134" s="1">
        <v>1.2393760500000001E-9</v>
      </c>
      <c r="I134" s="1">
        <v>1.1916993000000001E-9</v>
      </c>
      <c r="J134" s="1">
        <v>1.25112735E-9</v>
      </c>
      <c r="K134" s="1">
        <v>1.3376913E-9</v>
      </c>
      <c r="L134" s="1">
        <v>1.3174309500000002E-9</v>
      </c>
      <c r="M134" s="1">
        <v>1.1955652500000002E-9</v>
      </c>
      <c r="N134" s="1">
        <v>1.2131988000000001E-9</v>
      </c>
      <c r="O134" s="1">
        <v>1.2622236000000001E-9</v>
      </c>
      <c r="P134" s="1">
        <v>1.2897060000000001E-9</v>
      </c>
      <c r="Q134" s="1">
        <v>1.1893332000000001E-9</v>
      </c>
      <c r="R134" s="1">
        <v>1.3219601999999999E-9</v>
      </c>
      <c r="S134" s="1">
        <v>1.40782125E-9</v>
      </c>
      <c r="T134" s="1">
        <v>1.2390493500000002E-9</v>
      </c>
      <c r="U134" s="1">
        <v>1.2521883000000001E-9</v>
      </c>
      <c r="V134" s="1">
        <v>1.3472052000000001E-9</v>
      </c>
      <c r="W134" s="1">
        <v>1.1927091E-9</v>
      </c>
      <c r="X134" s="1">
        <v>1.2796393499999999E-9</v>
      </c>
      <c r="Y134" s="1">
        <v>1.35154305E-9</v>
      </c>
      <c r="Z134" s="1">
        <v>1.5310548000000001E-9</v>
      </c>
      <c r="AA134" s="1">
        <v>1.2205776E-9</v>
      </c>
      <c r="AB134" s="1">
        <v>1.2988602000000001E-9</v>
      </c>
      <c r="AC134" s="1">
        <v>1.2317514E-9</v>
      </c>
    </row>
    <row r="135" spans="2:29" x14ac:dyDescent="0.2">
      <c r="B135" s="1">
        <v>1.1953920000000002E-9</v>
      </c>
      <c r="C135" s="1">
        <v>1.2409353E-9</v>
      </c>
      <c r="D135" s="1">
        <v>1.1954745E-9</v>
      </c>
      <c r="E135" s="1">
        <v>1.6300712999999999E-9</v>
      </c>
      <c r="F135" s="1">
        <v>1.2371502000000001E-9</v>
      </c>
      <c r="G135" s="1">
        <v>1.2126311999999999E-9</v>
      </c>
      <c r="H135" s="1">
        <v>1.2114860999999999E-9</v>
      </c>
      <c r="I135" s="1">
        <v>1.2537640499999999E-9</v>
      </c>
      <c r="J135" s="1">
        <v>1.2132697499999998E-9</v>
      </c>
      <c r="K135" s="1">
        <v>1.3881565499999998E-9</v>
      </c>
      <c r="L135" s="1">
        <v>1.3251001500000002E-9</v>
      </c>
      <c r="M135" s="1">
        <v>1.2620206499999999E-9</v>
      </c>
      <c r="N135" s="1">
        <v>1.29889815E-9</v>
      </c>
      <c r="O135" s="1">
        <v>1.2347181000000001E-9</v>
      </c>
      <c r="P135" s="1">
        <v>1.3329261000000001E-9</v>
      </c>
      <c r="Q135" s="1">
        <v>1.2834277500000001E-9</v>
      </c>
      <c r="R135" s="1">
        <v>1.3907437500000001E-9</v>
      </c>
      <c r="S135" s="1">
        <v>1.44895245E-9</v>
      </c>
      <c r="T135" s="1">
        <v>1.2750144000000001E-9</v>
      </c>
      <c r="U135" s="1">
        <v>1.2072852E-9</v>
      </c>
      <c r="V135" s="1">
        <v>1.3173270000000001E-9</v>
      </c>
      <c r="W135" s="1">
        <v>1.1873334000000001E-9</v>
      </c>
      <c r="X135" s="1">
        <v>1.4429084999999999E-9</v>
      </c>
      <c r="Y135" s="1">
        <v>1.1882673E-9</v>
      </c>
      <c r="Z135" s="1">
        <v>1.5160133999999997E-9</v>
      </c>
      <c r="AA135" s="1">
        <v>1.27695645E-9</v>
      </c>
      <c r="AB135" s="1">
        <v>1.1866766999999999E-9</v>
      </c>
      <c r="AC135" s="1">
        <v>1.3416876E-9</v>
      </c>
    </row>
    <row r="136" spans="2:29" x14ac:dyDescent="0.2">
      <c r="B136" s="1">
        <v>1.2141921E-9</v>
      </c>
      <c r="C136" s="1">
        <v>1.2476738999999999E-9</v>
      </c>
      <c r="D136" s="1">
        <v>1.2933822E-9</v>
      </c>
      <c r="E136" s="1">
        <v>1.6811916E-9</v>
      </c>
      <c r="F136" s="1">
        <v>1.1944861500000001E-9</v>
      </c>
      <c r="G136" s="1">
        <v>1.21884675E-9</v>
      </c>
      <c r="H136" s="1">
        <v>1.2004855499999999E-9</v>
      </c>
      <c r="I136" s="1">
        <v>1.2192163499999999E-9</v>
      </c>
      <c r="J136" s="1">
        <v>1.24277835E-9</v>
      </c>
      <c r="K136" s="1">
        <v>1.29605685E-9</v>
      </c>
      <c r="L136" s="1">
        <v>1.37118135E-9</v>
      </c>
      <c r="M136" s="1">
        <v>1.1874142499999998E-9</v>
      </c>
      <c r="N136" s="1">
        <v>1.19291865E-9</v>
      </c>
      <c r="O136" s="1">
        <v>1.18933815E-9</v>
      </c>
      <c r="P136" s="1">
        <v>1.18827555E-9</v>
      </c>
      <c r="Q136" s="1">
        <v>1.1929104000000001E-9</v>
      </c>
      <c r="R136" s="1">
        <v>1.2759549E-9</v>
      </c>
      <c r="S136" s="1">
        <v>1.3056895500000001E-9</v>
      </c>
      <c r="T136" s="1">
        <v>1.1988372000000001E-9</v>
      </c>
      <c r="U136" s="1">
        <v>1.2439943999999999E-9</v>
      </c>
      <c r="V136" s="1">
        <v>1.3248476999999999E-9</v>
      </c>
      <c r="W136" s="1">
        <v>1.2250887E-9</v>
      </c>
      <c r="X136" s="1">
        <v>1.2607485E-9</v>
      </c>
      <c r="Y136" s="1">
        <v>1.22708355E-9</v>
      </c>
      <c r="Z136" s="1">
        <v>1.30820745E-9</v>
      </c>
      <c r="AA136" s="1">
        <v>1.1891781E-9</v>
      </c>
      <c r="AB136" s="1">
        <v>1.2051286500000001E-9</v>
      </c>
      <c r="AC136" s="1">
        <v>1.1918873999999999E-9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-Home-</vt:lpstr>
      <vt:lpstr>Pinmap</vt:lpstr>
      <vt:lpstr>ChanMap28x</vt:lpstr>
      <vt:lpstr>Global Specs</vt:lpstr>
      <vt:lpstr>8.10.14-flowtable</vt:lpstr>
      <vt:lpstr>Levels</vt:lpstr>
      <vt:lpstr>Time Sets</vt:lpstr>
      <vt:lpstr>Test Instances</vt:lpstr>
      <vt:lpstr>Execution Profile</vt:lpstr>
      <vt:lpstr>TraceLengths</vt:lpstr>
      <vt:lpstr>_cycOffset</vt:lpstr>
      <vt:lpstr>_cycPeriod</vt:lpstr>
      <vt:lpstr>_iLoad</vt:lpstr>
      <vt:lpstr>_Vch_default</vt:lpstr>
      <vt:lpstr>_Vcl_default</vt:lpstr>
      <vt:lpstr>_vLevel</vt:lpstr>
      <vt:lpstr>_vMeas</vt:lpstr>
      <vt:lpstr>_Vph_default</vt:lpstr>
    </vt:vector>
  </TitlesOfParts>
  <Company>Teradyne,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mannesr</dc:creator>
  <cp:lastModifiedBy>Admin</cp:lastModifiedBy>
  <dcterms:created xsi:type="dcterms:W3CDTF">1997-10-27T17:44:02Z</dcterms:created>
  <dcterms:modified xsi:type="dcterms:W3CDTF">2019-11-04T23:43:10Z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rJob">
    <vt:lpwstr>8.10.14_CelerintB.xlsm</vt:lpwstr>
  </property>
  <property fmtid="{D5CDD505-2E9C-101B-9397-08002B2CF9AE}" pid="3" name="terPart">
    <vt:lpwstr/>
  </property>
  <property fmtid="{D5CDD505-2E9C-101B-9397-08002B2CF9AE}" pid="4" name="terEnv">
    <vt:lpwstr/>
  </property>
  <property fmtid="{D5CDD505-2E9C-101B-9397-08002B2CF9AE}" pid="5" name="terTI">
    <vt:lpwstr>UC13</vt:lpwstr>
  </property>
  <property fmtid="{D5CDD505-2E9C-101B-9397-08002B2CF9AE}" pid="6" name="terAC">
    <vt:lpwstr/>
  </property>
  <property fmtid="{D5CDD505-2E9C-101B-9397-08002B2CF9AE}" pid="7" name="terDC">
    <vt:lpwstr/>
  </property>
  <property fmtid="{D5CDD505-2E9C-101B-9397-08002B2CF9AE}" pid="8" name="terGlobalSpecsPreviouslyAdded">
    <vt:lpwstr>Vcl_default,Vch_default,Vph_default</vt:lpwstr>
  </property>
  <property fmtid="{D5CDD505-2E9C-101B-9397-08002B2CF9AE}" pid="9" name="terName">
    <vt:lpwstr>8.10.14_CelerintB.xlsm</vt:lpwstr>
  </property>
  <property fmtid="{D5CDD505-2E9C-101B-9397-08002B2CF9AE}" pid="10" name="terActiveSheetName">
    <vt:lpwstr>Pinmap</vt:lpwstr>
  </property>
  <property fmtid="{D5CDD505-2E9C-101B-9397-08002B2CF9AE}" pid="11" name="terChanMap">
    <vt:lpwstr>ChanMap28x</vt:lpwstr>
  </property>
  <property fmtid="{D5CDD505-2E9C-101B-9397-08002B2CF9AE}" pid="12" name="terChanMapViewMode">
    <vt:lpwstr>Pogo</vt:lpwstr>
  </property>
</Properties>
</file>